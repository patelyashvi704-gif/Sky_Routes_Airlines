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FD777\EXCELCNV\b739c702-85f0-4d7e-a7ce-4be5662e3dc8\"/>
    </mc:Choice>
  </mc:AlternateContent>
  <xr:revisionPtr revIDLastSave="51" documentId="8_{0172001C-2260-402A-95DC-872214F38A95}" xr6:coauthVersionLast="47" xr6:coauthVersionMax="47" xr10:uidLastSave="{883311A9-0490-40D8-A22D-7E02FCFA7D60}"/>
  <bookViews>
    <workbookView xWindow="-60" yWindow="-60" windowWidth="15480" windowHeight="11640" xr2:uid="{B7D9099A-73D2-4059-9512-30A604BE7C6B}"/>
  </bookViews>
  <sheets>
    <sheet name="Sheet1" sheetId="2" r:id="rId1"/>
    <sheet name="in" sheetId="1" r:id="rId2"/>
  </sheets>
  <definedNames>
    <definedName name="Slicer_AircraftType">#N/A</definedName>
    <definedName name="Slicer_FlightMonth">#N/A</definedName>
    <definedName name="Slicer_RouteCode">#N/A</definedName>
    <definedName name="Slicer_SeatsAvailable">#N/A</definedName>
  </definedNames>
  <calcPr calcId="191028"/>
  <pivotCaches>
    <pivotCache cacheId="57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<sst xmlns="http://schemas.openxmlformats.org/spreadsheetml/2006/main" count="5028" uniqueCount="1131">
  <si>
    <t>FlightMonth</t>
  </si>
  <si>
    <t>Sum of Profit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</si>
  <si>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</si>
  <si>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</si>
  <si>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</si>
  <si>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</si>
  <si>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</si>
  <si>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</si>
  <si>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</si>
  <si>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</si>
  <si>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</si>
  <si>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</si>
  <si>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(blank)</t>
  </si>
  <si>
    <t>Grand Total</t>
  </si>
  <si>
    <t>FlightID</t>
  </si>
  <si>
    <t>RouteCode</t>
  </si>
  <si>
    <t>Origin</t>
  </si>
  <si>
    <t>Destination</t>
  </si>
  <si>
    <t>FlightDate</t>
  </si>
  <si>
    <t>FlightDurationMins</t>
  </si>
  <si>
    <t>AircraftType</t>
  </si>
  <si>
    <t>SeatsAvailable</t>
  </si>
  <si>
    <t>SeatsSold</t>
  </si>
  <si>
    <t>Revenue</t>
  </si>
  <si>
    <t>OperationalCost</t>
  </si>
  <si>
    <t>Profit</t>
  </si>
  <si>
    <t>Occupancy Rate</t>
  </si>
  <si>
    <t>SK1001</t>
  </si>
  <si>
    <t>JFK-DEL</t>
  </si>
  <si>
    <t>JFK</t>
  </si>
  <si>
    <t>DEL</t>
  </si>
  <si>
    <t>Boeing 777</t>
  </si>
  <si>
    <t>SK1002</t>
  </si>
  <si>
    <t>JFK-BLR</t>
  </si>
  <si>
    <t>BLR</t>
  </si>
  <si>
    <t>Airbus A350</t>
  </si>
  <si>
    <t>SK1003</t>
  </si>
  <si>
    <t>DEL-JFK</t>
  </si>
  <si>
    <t>SK1004</t>
  </si>
  <si>
    <t>JFK-SIN</t>
  </si>
  <si>
    <t>SIN</t>
  </si>
  <si>
    <t>Boeing 737</t>
  </si>
  <si>
    <t>SK1005</t>
  </si>
  <si>
    <t>BOM-LHR</t>
  </si>
  <si>
    <t>BOM</t>
  </si>
  <si>
    <t>LHR</t>
  </si>
  <si>
    <t>Airbus A320</t>
  </si>
  <si>
    <t>SK1006</t>
  </si>
  <si>
    <t>MAA-SIN</t>
  </si>
  <si>
    <t>MAA</t>
  </si>
  <si>
    <t>SK1007</t>
  </si>
  <si>
    <t>DXB-DEL</t>
  </si>
  <si>
    <t>DXB</t>
  </si>
  <si>
    <t>SK1008</t>
  </si>
  <si>
    <t>DXB-CCU</t>
  </si>
  <si>
    <t>CCU</t>
  </si>
  <si>
    <t>SK1009</t>
  </si>
  <si>
    <t>DXB-MAA</t>
  </si>
  <si>
    <t>SK1010</t>
  </si>
  <si>
    <t>SK1011</t>
  </si>
  <si>
    <t>BOM-BLR</t>
  </si>
  <si>
    <t>SK1012</t>
  </si>
  <si>
    <t>DXB-SIN</t>
  </si>
  <si>
    <t>SK1013</t>
  </si>
  <si>
    <t>BLR-CCU</t>
  </si>
  <si>
    <t>SK1014</t>
  </si>
  <si>
    <t>MAA-LHR</t>
  </si>
  <si>
    <t>SK1015</t>
  </si>
  <si>
    <t>BKK-LHR</t>
  </si>
  <si>
    <t>BKK</t>
  </si>
  <si>
    <t>SK1016</t>
  </si>
  <si>
    <t>BOM-SIN</t>
  </si>
  <si>
    <t>SK1017</t>
  </si>
  <si>
    <t>JFK-DXB</t>
  </si>
  <si>
    <t>SK1018</t>
  </si>
  <si>
    <t>CCU-DEL</t>
  </si>
  <si>
    <t>SK1019</t>
  </si>
  <si>
    <t>LHR-JFK</t>
  </si>
  <si>
    <t>SK1020</t>
  </si>
  <si>
    <t>DXB-LHR</t>
  </si>
  <si>
    <t>SK1021</t>
  </si>
  <si>
    <t>BLR-BKK</t>
  </si>
  <si>
    <t>SK1022</t>
  </si>
  <si>
    <t>DEL-SIN</t>
  </si>
  <si>
    <t>SK1023</t>
  </si>
  <si>
    <t>SK1024</t>
  </si>
  <si>
    <t>LHR-MAA</t>
  </si>
  <si>
    <t>SK1025</t>
  </si>
  <si>
    <t>CCU-BOM</t>
  </si>
  <si>
    <t>SK1026</t>
  </si>
  <si>
    <t>SIN-DEL</t>
  </si>
  <si>
    <t>SK1027</t>
  </si>
  <si>
    <t>BOM-BKK</t>
  </si>
  <si>
    <t>SK1028</t>
  </si>
  <si>
    <t>BLR-DEL</t>
  </si>
  <si>
    <t>SK1029</t>
  </si>
  <si>
    <t>BKK-DEL</t>
  </si>
  <si>
    <t>SK1030</t>
  </si>
  <si>
    <t>SIN-BLR</t>
  </si>
  <si>
    <t>SK1031</t>
  </si>
  <si>
    <t>SK1032</t>
  </si>
  <si>
    <t>SK1033</t>
  </si>
  <si>
    <t>LHR-CCU</t>
  </si>
  <si>
    <t>SK1034</t>
  </si>
  <si>
    <t>BLR-DXB</t>
  </si>
  <si>
    <t>SK1035</t>
  </si>
  <si>
    <t>SK1036</t>
  </si>
  <si>
    <t>DEL-LHR</t>
  </si>
  <si>
    <t>SK1037</t>
  </si>
  <si>
    <t>DEL-DXB</t>
  </si>
  <si>
    <t>SK1038</t>
  </si>
  <si>
    <t>SK1039</t>
  </si>
  <si>
    <t>SK1040</t>
  </si>
  <si>
    <t>BOM-CCU</t>
  </si>
  <si>
    <t>SK1041</t>
  </si>
  <si>
    <t>SK1042</t>
  </si>
  <si>
    <t>DEL-BOM</t>
  </si>
  <si>
    <t>SK1043</t>
  </si>
  <si>
    <t>SIN-BKK</t>
  </si>
  <si>
    <t>SK1044</t>
  </si>
  <si>
    <t>DXB-BLR</t>
  </si>
  <si>
    <t>SK1045</t>
  </si>
  <si>
    <t>JFK-LHR</t>
  </si>
  <si>
    <t>SK1046</t>
  </si>
  <si>
    <t>CCU-MAA</t>
  </si>
  <si>
    <t>SK1047</t>
  </si>
  <si>
    <t>SK1048</t>
  </si>
  <si>
    <t>SIN-CCU</t>
  </si>
  <si>
    <t>SK1049</t>
  </si>
  <si>
    <t>LHR-DEL</t>
  </si>
  <si>
    <t>SK1050</t>
  </si>
  <si>
    <t>SK1051</t>
  </si>
  <si>
    <t>SK1052</t>
  </si>
  <si>
    <t>SK1053</t>
  </si>
  <si>
    <t>SK1054</t>
  </si>
  <si>
    <t>DEL-MAA</t>
  </si>
  <si>
    <t>SK1055</t>
  </si>
  <si>
    <t>BKK-BLR</t>
  </si>
  <si>
    <t>SK1056</t>
  </si>
  <si>
    <t>SK1057</t>
  </si>
  <si>
    <t>SK1058</t>
  </si>
  <si>
    <t>BKK-BOM</t>
  </si>
  <si>
    <t>SK1059</t>
  </si>
  <si>
    <t>SK1060</t>
  </si>
  <si>
    <t>MAA-CCU</t>
  </si>
  <si>
    <t>SK1061</t>
  </si>
  <si>
    <t>SK1062</t>
  </si>
  <si>
    <t>JFK-MAA</t>
  </si>
  <si>
    <t>SK1063</t>
  </si>
  <si>
    <t>MAA-BKK</t>
  </si>
  <si>
    <t>SK1064</t>
  </si>
  <si>
    <t>SK1065</t>
  </si>
  <si>
    <t>SK1066</t>
  </si>
  <si>
    <t>BKK-SIN</t>
  </si>
  <si>
    <t>SK1067</t>
  </si>
  <si>
    <t>SK1068</t>
  </si>
  <si>
    <t>SK1069</t>
  </si>
  <si>
    <t>LHR-DXB</t>
  </si>
  <si>
    <t>SK1070</t>
  </si>
  <si>
    <t>CCU-LHR</t>
  </si>
  <si>
    <t>SK1071</t>
  </si>
  <si>
    <t>SK1072</t>
  </si>
  <si>
    <t>SK1073</t>
  </si>
  <si>
    <t>JFK-BKK</t>
  </si>
  <si>
    <t>SK1074</t>
  </si>
  <si>
    <t>BLR-JFK</t>
  </si>
  <si>
    <t>SK1075</t>
  </si>
  <si>
    <t>DEL-BKK</t>
  </si>
  <si>
    <t>SK1076</t>
  </si>
  <si>
    <t>BLR-SIN</t>
  </si>
  <si>
    <t>SK1077</t>
  </si>
  <si>
    <t>SK1078</t>
  </si>
  <si>
    <t>SK1079</t>
  </si>
  <si>
    <t>SIN-MAA</t>
  </si>
  <si>
    <t>SK1080</t>
  </si>
  <si>
    <t>SIN-JFK</t>
  </si>
  <si>
    <t>SK1081</t>
  </si>
  <si>
    <t>SK1082</t>
  </si>
  <si>
    <t>SK1083</t>
  </si>
  <si>
    <t>SK1084</t>
  </si>
  <si>
    <t>SK1085</t>
  </si>
  <si>
    <t>SK1086</t>
  </si>
  <si>
    <t>LHR-BLR</t>
  </si>
  <si>
    <t>SK1087</t>
  </si>
  <si>
    <t>JFK-BOM</t>
  </si>
  <si>
    <t>SK1088</t>
  </si>
  <si>
    <t>MAA-DEL</t>
  </si>
  <si>
    <t>SK1089</t>
  </si>
  <si>
    <t>SK1090</t>
  </si>
  <si>
    <t>SK1091</t>
  </si>
  <si>
    <t>BOM-DXB</t>
  </si>
  <si>
    <t>SK1092</t>
  </si>
  <si>
    <t>MAA-BOM</t>
  </si>
  <si>
    <t>SK1093</t>
  </si>
  <si>
    <t>SK1094</t>
  </si>
  <si>
    <t>SK1095</t>
  </si>
  <si>
    <t>SK1096</t>
  </si>
  <si>
    <t>SK1097</t>
  </si>
  <si>
    <t>LHR-SIN</t>
  </si>
  <si>
    <t>SK1098</t>
  </si>
  <si>
    <t>BKK-DXB</t>
  </si>
  <si>
    <t>SK1099</t>
  </si>
  <si>
    <t>JFK-CCU</t>
  </si>
  <si>
    <t>SK1100</t>
  </si>
  <si>
    <t>SK1101</t>
  </si>
  <si>
    <t>DXB-BOM</t>
  </si>
  <si>
    <t>SK1102</t>
  </si>
  <si>
    <t>SK1103</t>
  </si>
  <si>
    <t>BOM-MAA</t>
  </si>
  <si>
    <t>SK1104</t>
  </si>
  <si>
    <t>CCU-BKK</t>
  </si>
  <si>
    <t>SK1105</t>
  </si>
  <si>
    <t>SK1106</t>
  </si>
  <si>
    <t>SK1107</t>
  </si>
  <si>
    <t>SK1108</t>
  </si>
  <si>
    <t>SK1109</t>
  </si>
  <si>
    <t>SK1110</t>
  </si>
  <si>
    <t>SK1111</t>
  </si>
  <si>
    <t>CCU-JFK</t>
  </si>
  <si>
    <t>SK1112</t>
  </si>
  <si>
    <t>BLR-MAA</t>
  </si>
  <si>
    <t>SK1113</t>
  </si>
  <si>
    <t>SK1114</t>
  </si>
  <si>
    <t>SK1115</t>
  </si>
  <si>
    <t>SK1116</t>
  </si>
  <si>
    <t>SK1117</t>
  </si>
  <si>
    <t>BKK-CCU</t>
  </si>
  <si>
    <t>SK1118</t>
  </si>
  <si>
    <t>SK1119</t>
  </si>
  <si>
    <t>SK1120</t>
  </si>
  <si>
    <t>MAA-BLR</t>
  </si>
  <si>
    <t>SK1121</t>
  </si>
  <si>
    <t>SK1122</t>
  </si>
  <si>
    <t>SK1123</t>
  </si>
  <si>
    <t>SK1124</t>
  </si>
  <si>
    <t>SK1125</t>
  </si>
  <si>
    <t>SK1126</t>
  </si>
  <si>
    <t>SK1127</t>
  </si>
  <si>
    <t>SK1128</t>
  </si>
  <si>
    <t>SK1129</t>
  </si>
  <si>
    <t>CCU-SIN</t>
  </si>
  <si>
    <t>SK1130</t>
  </si>
  <si>
    <t>SK1131</t>
  </si>
  <si>
    <t>SK1132</t>
  </si>
  <si>
    <t>SK1133</t>
  </si>
  <si>
    <t>SK1134</t>
  </si>
  <si>
    <t>DXB-BKK</t>
  </si>
  <si>
    <t>SK1135</t>
  </si>
  <si>
    <t>SK1136</t>
  </si>
  <si>
    <t>SK1137</t>
  </si>
  <si>
    <t>SK1138</t>
  </si>
  <si>
    <t>SK1139</t>
  </si>
  <si>
    <t>SK1140</t>
  </si>
  <si>
    <t>SK1141</t>
  </si>
  <si>
    <t>SK1142</t>
  </si>
  <si>
    <t>SK1143</t>
  </si>
  <si>
    <t>LHR-BOM</t>
  </si>
  <si>
    <t>SK1144</t>
  </si>
  <si>
    <t>SK1145</t>
  </si>
  <si>
    <t>SK1146</t>
  </si>
  <si>
    <t>BKK-JFK</t>
  </si>
  <si>
    <t>SK1147</t>
  </si>
  <si>
    <t>SK1148</t>
  </si>
  <si>
    <t>SK1149</t>
  </si>
  <si>
    <t>SK1150</t>
  </si>
  <si>
    <t>SK1151</t>
  </si>
  <si>
    <t>SK1152</t>
  </si>
  <si>
    <t>SK1153</t>
  </si>
  <si>
    <t>SK1154</t>
  </si>
  <si>
    <t>SK1155</t>
  </si>
  <si>
    <t>SK1156</t>
  </si>
  <si>
    <t>SK1157</t>
  </si>
  <si>
    <t>SK1158</t>
  </si>
  <si>
    <t>SK1159</t>
  </si>
  <si>
    <t>SK1160</t>
  </si>
  <si>
    <t>SK1161</t>
  </si>
  <si>
    <t>SK1162</t>
  </si>
  <si>
    <t>LHR-BKK</t>
  </si>
  <si>
    <t>SK1163</t>
  </si>
  <si>
    <t>SK1164</t>
  </si>
  <si>
    <t>SK1165</t>
  </si>
  <si>
    <t>SK1166</t>
  </si>
  <si>
    <t>DXB-JFK</t>
  </si>
  <si>
    <t>SK1167</t>
  </si>
  <si>
    <t>SK1168</t>
  </si>
  <si>
    <t>SK1169</t>
  </si>
  <si>
    <t>SK1170</t>
  </si>
  <si>
    <t>SK1171</t>
  </si>
  <si>
    <t>SK1172</t>
  </si>
  <si>
    <t>SK1173</t>
  </si>
  <si>
    <t>SK1174</t>
  </si>
  <si>
    <t>SK1175</t>
  </si>
  <si>
    <t>SK1176</t>
  </si>
  <si>
    <t>SK1177</t>
  </si>
  <si>
    <t>SK1178</t>
  </si>
  <si>
    <t>SK1179</t>
  </si>
  <si>
    <t>SK1180</t>
  </si>
  <si>
    <t>SK1181</t>
  </si>
  <si>
    <t>SK1182</t>
  </si>
  <si>
    <t>BLR-BOM</t>
  </si>
  <si>
    <t>SK1183</t>
  </si>
  <si>
    <t>SK1184</t>
  </si>
  <si>
    <t>DEL-BLR</t>
  </si>
  <si>
    <t>SK1185</t>
  </si>
  <si>
    <t>SK1186</t>
  </si>
  <si>
    <t>SK1187</t>
  </si>
  <si>
    <t>SK1188</t>
  </si>
  <si>
    <t>SIN-LHR</t>
  </si>
  <si>
    <t>SK1189</t>
  </si>
  <si>
    <t>SK1190</t>
  </si>
  <si>
    <t>SK1191</t>
  </si>
  <si>
    <t>SK1192</t>
  </si>
  <si>
    <t>SK1193</t>
  </si>
  <si>
    <t>SK1194</t>
  </si>
  <si>
    <t>SK1195</t>
  </si>
  <si>
    <t>SK1196</t>
  </si>
  <si>
    <t>SK1197</t>
  </si>
  <si>
    <t>SK1198</t>
  </si>
  <si>
    <t>SK1199</t>
  </si>
  <si>
    <t>SK1200</t>
  </si>
  <si>
    <t>SK1201</t>
  </si>
  <si>
    <t>SK1202</t>
  </si>
  <si>
    <t>SK1203</t>
  </si>
  <si>
    <t>SK1204</t>
  </si>
  <si>
    <t>SK1205</t>
  </si>
  <si>
    <t>SK1206</t>
  </si>
  <si>
    <t>SK1207</t>
  </si>
  <si>
    <t>SK1208</t>
  </si>
  <si>
    <t>SK1209</t>
  </si>
  <si>
    <t>SK1210</t>
  </si>
  <si>
    <t>SK1211</t>
  </si>
  <si>
    <t>SK1212</t>
  </si>
  <si>
    <t>SK1213</t>
  </si>
  <si>
    <t>SK1214</t>
  </si>
  <si>
    <t>SK1215</t>
  </si>
  <si>
    <t>SK1216</t>
  </si>
  <si>
    <t>SK1217</t>
  </si>
  <si>
    <t>SK1218</t>
  </si>
  <si>
    <t>SK1219</t>
  </si>
  <si>
    <t>SK1220</t>
  </si>
  <si>
    <t>SK1221</t>
  </si>
  <si>
    <t>SK1222</t>
  </si>
  <si>
    <t>DEL-CCU</t>
  </si>
  <si>
    <t>SK1223</t>
  </si>
  <si>
    <t>SK1224</t>
  </si>
  <si>
    <t>SK1225</t>
  </si>
  <si>
    <t>SK1226</t>
  </si>
  <si>
    <t>SK1227</t>
  </si>
  <si>
    <t>SK1228</t>
  </si>
  <si>
    <t>SK1229</t>
  </si>
  <si>
    <t>SK1230</t>
  </si>
  <si>
    <t>SK1231</t>
  </si>
  <si>
    <t>SK1232</t>
  </si>
  <si>
    <t>SK1233</t>
  </si>
  <si>
    <t>SK1234</t>
  </si>
  <si>
    <t>SK1235</t>
  </si>
  <si>
    <t>SK1236</t>
  </si>
  <si>
    <t>CCU-DXB</t>
  </si>
  <si>
    <t>SK1237</t>
  </si>
  <si>
    <t>SK1238</t>
  </si>
  <si>
    <t>SK1239</t>
  </si>
  <si>
    <t>SK1240</t>
  </si>
  <si>
    <t>SK1241</t>
  </si>
  <si>
    <t>SK1242</t>
  </si>
  <si>
    <t>BKK-MAA</t>
  </si>
  <si>
    <t>SK1243</t>
  </si>
  <si>
    <t>SK1244</t>
  </si>
  <si>
    <t>SK1245</t>
  </si>
  <si>
    <t>SK1246</t>
  </si>
  <si>
    <t>SK1247</t>
  </si>
  <si>
    <t>BOM-JFK</t>
  </si>
  <si>
    <t>SK1248</t>
  </si>
  <si>
    <t>SK1249</t>
  </si>
  <si>
    <t>SK1250</t>
  </si>
  <si>
    <t>SK1251</t>
  </si>
  <si>
    <t>SK1252</t>
  </si>
  <si>
    <t>SK1253</t>
  </si>
  <si>
    <t>SK1254</t>
  </si>
  <si>
    <t>SK1255</t>
  </si>
  <si>
    <t>BOM-DEL</t>
  </si>
  <si>
    <t>SK1256</t>
  </si>
  <si>
    <t>SK1257</t>
  </si>
  <si>
    <t>SK1258</t>
  </si>
  <si>
    <t>SK1259</t>
  </si>
  <si>
    <t>SK1260</t>
  </si>
  <si>
    <t>SK1261</t>
  </si>
  <si>
    <t>SK1262</t>
  </si>
  <si>
    <t>SK1263</t>
  </si>
  <si>
    <t>SK1264</t>
  </si>
  <si>
    <t>SK1265</t>
  </si>
  <si>
    <t>SK1266</t>
  </si>
  <si>
    <t>SK1267</t>
  </si>
  <si>
    <t>SK1268</t>
  </si>
  <si>
    <t>SK1269</t>
  </si>
  <si>
    <t>SK1270</t>
  </si>
  <si>
    <t>SK1271</t>
  </si>
  <si>
    <t>SK1272</t>
  </si>
  <si>
    <t>SK1273</t>
  </si>
  <si>
    <t>SK1274</t>
  </si>
  <si>
    <t>SK1275</t>
  </si>
  <si>
    <t>SK1276</t>
  </si>
  <si>
    <t>SK1277</t>
  </si>
  <si>
    <t>SK1278</t>
  </si>
  <si>
    <t>SK1279</t>
  </si>
  <si>
    <t>SK1280</t>
  </si>
  <si>
    <t>SK1281</t>
  </si>
  <si>
    <t>SK1282</t>
  </si>
  <si>
    <t>MAA-JFK</t>
  </si>
  <si>
    <t>SK1283</t>
  </si>
  <si>
    <t>SK1284</t>
  </si>
  <si>
    <t>SK1285</t>
  </si>
  <si>
    <t>SK1286</t>
  </si>
  <si>
    <t>SK1287</t>
  </si>
  <si>
    <t>SK1288</t>
  </si>
  <si>
    <t>SIN-DXB</t>
  </si>
  <si>
    <t>SK1289</t>
  </si>
  <si>
    <t>SK1290</t>
  </si>
  <si>
    <t>SK1291</t>
  </si>
  <si>
    <t>SK1292</t>
  </si>
  <si>
    <t>SK1293</t>
  </si>
  <si>
    <t>SK1294</t>
  </si>
  <si>
    <t>SK1295</t>
  </si>
  <si>
    <t>SK1296</t>
  </si>
  <si>
    <t>SK1297</t>
  </si>
  <si>
    <t>SK1298</t>
  </si>
  <si>
    <t>SK1299</t>
  </si>
  <si>
    <t>SK1300</t>
  </si>
  <si>
    <t>SK1301</t>
  </si>
  <si>
    <t>SK1302</t>
  </si>
  <si>
    <t>SK1303</t>
  </si>
  <si>
    <t>MAA-DXB</t>
  </si>
  <si>
    <t>SK1304</t>
  </si>
  <si>
    <t>SK1305</t>
  </si>
  <si>
    <t>SK1306</t>
  </si>
  <si>
    <t>SK1307</t>
  </si>
  <si>
    <t>SK1308</t>
  </si>
  <si>
    <t>SK1309</t>
  </si>
  <si>
    <t>SK1310</t>
  </si>
  <si>
    <t>SK1311</t>
  </si>
  <si>
    <t>SK1312</t>
  </si>
  <si>
    <t>SK1313</t>
  </si>
  <si>
    <t>SK1314</t>
  </si>
  <si>
    <t>SK1315</t>
  </si>
  <si>
    <t>SK1316</t>
  </si>
  <si>
    <t>SK1317</t>
  </si>
  <si>
    <t>SK1318</t>
  </si>
  <si>
    <t>SK1319</t>
  </si>
  <si>
    <t>SK1320</t>
  </si>
  <si>
    <t>SK1321</t>
  </si>
  <si>
    <t>SK1322</t>
  </si>
  <si>
    <t>SK1323</t>
  </si>
  <si>
    <t>SK1324</t>
  </si>
  <si>
    <t>SK1325</t>
  </si>
  <si>
    <t>SK1326</t>
  </si>
  <si>
    <t>SK1327</t>
  </si>
  <si>
    <t>SK1328</t>
  </si>
  <si>
    <t>SK1329</t>
  </si>
  <si>
    <t>SK1330</t>
  </si>
  <si>
    <t>SK1331</t>
  </si>
  <si>
    <t>SK1332</t>
  </si>
  <si>
    <t>SK1333</t>
  </si>
  <si>
    <t>SK1334</t>
  </si>
  <si>
    <t>SK1335</t>
  </si>
  <si>
    <t>SK1336</t>
  </si>
  <si>
    <t>SK1337</t>
  </si>
  <si>
    <t>SK1338</t>
  </si>
  <si>
    <t>SK1339</t>
  </si>
  <si>
    <t>SK1340</t>
  </si>
  <si>
    <t>SK1341</t>
  </si>
  <si>
    <t>SK1342</t>
  </si>
  <si>
    <t>SK1343</t>
  </si>
  <si>
    <t>SK1344</t>
  </si>
  <si>
    <t>SK1345</t>
  </si>
  <si>
    <t>SK1346</t>
  </si>
  <si>
    <t>SK1347</t>
  </si>
  <si>
    <t>SK1348</t>
  </si>
  <si>
    <t>SK1349</t>
  </si>
  <si>
    <t>SK1350</t>
  </si>
  <si>
    <t>SIN-BOM</t>
  </si>
  <si>
    <t>SK1351</t>
  </si>
  <si>
    <t>SK1352</t>
  </si>
  <si>
    <t>SK1353</t>
  </si>
  <si>
    <t>SK1354</t>
  </si>
  <si>
    <t>SK1355</t>
  </si>
  <si>
    <t>SK1356</t>
  </si>
  <si>
    <t>SK1357</t>
  </si>
  <si>
    <t>SK1358</t>
  </si>
  <si>
    <t>SK1359</t>
  </si>
  <si>
    <t>SK1360</t>
  </si>
  <si>
    <t>SK1361</t>
  </si>
  <si>
    <t>SK1362</t>
  </si>
  <si>
    <t>SK1363</t>
  </si>
  <si>
    <t>SK1364</t>
  </si>
  <si>
    <t>SK1365</t>
  </si>
  <si>
    <t>SK1366</t>
  </si>
  <si>
    <t>SK1367</t>
  </si>
  <si>
    <t>SK1368</t>
  </si>
  <si>
    <t>SK1369</t>
  </si>
  <si>
    <t>SK1370</t>
  </si>
  <si>
    <t>SK1371</t>
  </si>
  <si>
    <t>SK1372</t>
  </si>
  <si>
    <t>SK1373</t>
  </si>
  <si>
    <t>SK1374</t>
  </si>
  <si>
    <t>SK1375</t>
  </si>
  <si>
    <t>SK1376</t>
  </si>
  <si>
    <t>SK1377</t>
  </si>
  <si>
    <t>CCU-BLR</t>
  </si>
  <si>
    <t>SK1378</t>
  </si>
  <si>
    <t>SK1379</t>
  </si>
  <si>
    <t>SK1380</t>
  </si>
  <si>
    <t>SK1381</t>
  </si>
  <si>
    <t>SK1382</t>
  </si>
  <si>
    <t>SK1383</t>
  </si>
  <si>
    <t>SK1384</t>
  </si>
  <si>
    <t>SK1385</t>
  </si>
  <si>
    <t>SK1386</t>
  </si>
  <si>
    <t>SK1387</t>
  </si>
  <si>
    <t>SK1388</t>
  </si>
  <si>
    <t>SK1389</t>
  </si>
  <si>
    <t>SK1390</t>
  </si>
  <si>
    <t>SK1391</t>
  </si>
  <si>
    <t>SK1392</t>
  </si>
  <si>
    <t>SK1393</t>
  </si>
  <si>
    <t>SK1394</t>
  </si>
  <si>
    <t>SK1395</t>
  </si>
  <si>
    <t>SK1396</t>
  </si>
  <si>
    <t>SK1397</t>
  </si>
  <si>
    <t>SK1398</t>
  </si>
  <si>
    <t>SK1399</t>
  </si>
  <si>
    <t>SK1400</t>
  </si>
  <si>
    <t>BLR-LHR</t>
  </si>
  <si>
    <t>SK1401</t>
  </si>
  <si>
    <t>SK1402</t>
  </si>
  <si>
    <t>SK1403</t>
  </si>
  <si>
    <t>SK1404</t>
  </si>
  <si>
    <t>SK1405</t>
  </si>
  <si>
    <t>SK1406</t>
  </si>
  <si>
    <t>SK1407</t>
  </si>
  <si>
    <t>SK1408</t>
  </si>
  <si>
    <t>SK1409</t>
  </si>
  <si>
    <t>SK1410</t>
  </si>
  <si>
    <t>SK1411</t>
  </si>
  <si>
    <t>SK1412</t>
  </si>
  <si>
    <t>SK1413</t>
  </si>
  <si>
    <t>SK1414</t>
  </si>
  <si>
    <t>SK1415</t>
  </si>
  <si>
    <t>SK1416</t>
  </si>
  <si>
    <t>SK1417</t>
  </si>
  <si>
    <t>SK1418</t>
  </si>
  <si>
    <t>SK1419</t>
  </si>
  <si>
    <t>SK1420</t>
  </si>
  <si>
    <t>SK1421</t>
  </si>
  <si>
    <t>SK1422</t>
  </si>
  <si>
    <t>SK1423</t>
  </si>
  <si>
    <t>SK1424</t>
  </si>
  <si>
    <t>SK1425</t>
  </si>
  <si>
    <t>SK1426</t>
  </si>
  <si>
    <t>SK1427</t>
  </si>
  <si>
    <t>SK1428</t>
  </si>
  <si>
    <t>SK1429</t>
  </si>
  <si>
    <t>SK1430</t>
  </si>
  <si>
    <t>SK1431</t>
  </si>
  <si>
    <t>SK1432</t>
  </si>
  <si>
    <t>SK1433</t>
  </si>
  <si>
    <t>SK1434</t>
  </si>
  <si>
    <t>SK1435</t>
  </si>
  <si>
    <t>SK1436</t>
  </si>
  <si>
    <t>SK1437</t>
  </si>
  <si>
    <t>SK1438</t>
  </si>
  <si>
    <t>SK1439</t>
  </si>
  <si>
    <t>SK1440</t>
  </si>
  <si>
    <t>SK1441</t>
  </si>
  <si>
    <t>SK1442</t>
  </si>
  <si>
    <t>SK1443</t>
  </si>
  <si>
    <t>SK1444</t>
  </si>
  <si>
    <t>SK1445</t>
  </si>
  <si>
    <t>SK1446</t>
  </si>
  <si>
    <t>SK1447</t>
  </si>
  <si>
    <t>SK1448</t>
  </si>
  <si>
    <t>SK1449</t>
  </si>
  <si>
    <t>SK1450</t>
  </si>
  <si>
    <t>SK1451</t>
  </si>
  <si>
    <t>SK1452</t>
  </si>
  <si>
    <t>SK1453</t>
  </si>
  <si>
    <t>SK1454</t>
  </si>
  <si>
    <t>SK1455</t>
  </si>
  <si>
    <t>SK1456</t>
  </si>
  <si>
    <t>SK1457</t>
  </si>
  <si>
    <t>SK1458</t>
  </si>
  <si>
    <t>SK1459</t>
  </si>
  <si>
    <t>SK1460</t>
  </si>
  <si>
    <t>SK1461</t>
  </si>
  <si>
    <t>SK1462</t>
  </si>
  <si>
    <t>SK1463</t>
  </si>
  <si>
    <t>SK1464</t>
  </si>
  <si>
    <t>SK1465</t>
  </si>
  <si>
    <t>SK1466</t>
  </si>
  <si>
    <t>SK1467</t>
  </si>
  <si>
    <t>SK1468</t>
  </si>
  <si>
    <t>SK1469</t>
  </si>
  <si>
    <t>SK1470</t>
  </si>
  <si>
    <t>SK1471</t>
  </si>
  <si>
    <t>SK1472</t>
  </si>
  <si>
    <t>SK1473</t>
  </si>
  <si>
    <t>SK1474</t>
  </si>
  <si>
    <t>SK1475</t>
  </si>
  <si>
    <t>SK1476</t>
  </si>
  <si>
    <t>SK1477</t>
  </si>
  <si>
    <t>SK1478</t>
  </si>
  <si>
    <t>SK1479</t>
  </si>
  <si>
    <t>SK1480</t>
  </si>
  <si>
    <t>SK1481</t>
  </si>
  <si>
    <t>SK1482</t>
  </si>
  <si>
    <t>SK1483</t>
  </si>
  <si>
    <t>SK1484</t>
  </si>
  <si>
    <t>SK1485</t>
  </si>
  <si>
    <t>SK1486</t>
  </si>
  <si>
    <t>SK1487</t>
  </si>
  <si>
    <t>SK1488</t>
  </si>
  <si>
    <t>SK1489</t>
  </si>
  <si>
    <t>SK1490</t>
  </si>
  <si>
    <t>SK1491</t>
  </si>
  <si>
    <t>SK1492</t>
  </si>
  <si>
    <t>SK1493</t>
  </si>
  <si>
    <t>SK1494</t>
  </si>
  <si>
    <t>SK1495</t>
  </si>
  <si>
    <t>SK1496</t>
  </si>
  <si>
    <t>SK1497</t>
  </si>
  <si>
    <t>SK1498</t>
  </si>
  <si>
    <t>SK1499</t>
  </si>
  <si>
    <t>SK1500</t>
  </si>
  <si>
    <t>SK1501</t>
  </si>
  <si>
    <t>SK1502</t>
  </si>
  <si>
    <t>SK1503</t>
  </si>
  <si>
    <t>SK1504</t>
  </si>
  <si>
    <t>SK1505</t>
  </si>
  <si>
    <t>SK1506</t>
  </si>
  <si>
    <t>SK1507</t>
  </si>
  <si>
    <t>SK1508</t>
  </si>
  <si>
    <t>SK1509</t>
  </si>
  <si>
    <t>SK1510</t>
  </si>
  <si>
    <t>SK1511</t>
  </si>
  <si>
    <t>SK1512</t>
  </si>
  <si>
    <t>SK1513</t>
  </si>
  <si>
    <t>SK1514</t>
  </si>
  <si>
    <t>SK1515</t>
  </si>
  <si>
    <t>SK1516</t>
  </si>
  <si>
    <t>SK1517</t>
  </si>
  <si>
    <t>SK1518</t>
  </si>
  <si>
    <t>SK1519</t>
  </si>
  <si>
    <t>SK1520</t>
  </si>
  <si>
    <t>SK1521</t>
  </si>
  <si>
    <t>SK1522</t>
  </si>
  <si>
    <t>SK1523</t>
  </si>
  <si>
    <t>SK1524</t>
  </si>
  <si>
    <t>SK1525</t>
  </si>
  <si>
    <t>SK1526</t>
  </si>
  <si>
    <t>SK1527</t>
  </si>
  <si>
    <t>SK1528</t>
  </si>
  <si>
    <t>SK1529</t>
  </si>
  <si>
    <t>SK1530</t>
  </si>
  <si>
    <t>SK1531</t>
  </si>
  <si>
    <t>SK1532</t>
  </si>
  <si>
    <t>SK1533</t>
  </si>
  <si>
    <t>SK1534</t>
  </si>
  <si>
    <t>SK1535</t>
  </si>
  <si>
    <t>SK1536</t>
  </si>
  <si>
    <t>SK1537</t>
  </si>
  <si>
    <t>SK1538</t>
  </si>
  <si>
    <t>SK1539</t>
  </si>
  <si>
    <t>SK1540</t>
  </si>
  <si>
    <t>SK1541</t>
  </si>
  <si>
    <t>SK1542</t>
  </si>
  <si>
    <t>SK1543</t>
  </si>
  <si>
    <t>SK1544</t>
  </si>
  <si>
    <t>SK1545</t>
  </si>
  <si>
    <t>SK1546</t>
  </si>
  <si>
    <t>SK1547</t>
  </si>
  <si>
    <t>SK1548</t>
  </si>
  <si>
    <t>SK1549</t>
  </si>
  <si>
    <t>SK1550</t>
  </si>
  <si>
    <t>SK1551</t>
  </si>
  <si>
    <t>SK1552</t>
  </si>
  <si>
    <t>SK1553</t>
  </si>
  <si>
    <t>SK1554</t>
  </si>
  <si>
    <t>SK1555</t>
  </si>
  <si>
    <t>SK1556</t>
  </si>
  <si>
    <t>SK1557</t>
  </si>
  <si>
    <t>SK1558</t>
  </si>
  <si>
    <t>SK1559</t>
  </si>
  <si>
    <t>SK1560</t>
  </si>
  <si>
    <t>SK1561</t>
  </si>
  <si>
    <t>SK1562</t>
  </si>
  <si>
    <t>SK1563</t>
  </si>
  <si>
    <t>SK1564</t>
  </si>
  <si>
    <t>SK1565</t>
  </si>
  <si>
    <t>SK1566</t>
  </si>
  <si>
    <t>SK1567</t>
  </si>
  <si>
    <t>SK1568</t>
  </si>
  <si>
    <t>SK1569</t>
  </si>
  <si>
    <t>SK1570</t>
  </si>
  <si>
    <t>SK1571</t>
  </si>
  <si>
    <t>SK1572</t>
  </si>
  <si>
    <t>SK1573</t>
  </si>
  <si>
    <t>SK1574</t>
  </si>
  <si>
    <t>SK1575</t>
  </si>
  <si>
    <t>SK1576</t>
  </si>
  <si>
    <t>SK1577</t>
  </si>
  <si>
    <t>SK1578</t>
  </si>
  <si>
    <t>SK1579</t>
  </si>
  <si>
    <t>SK1580</t>
  </si>
  <si>
    <t>SK1581</t>
  </si>
  <si>
    <t>SK1582</t>
  </si>
  <si>
    <t>SK1583</t>
  </si>
  <si>
    <t>SK1584</t>
  </si>
  <si>
    <t>SK1585</t>
  </si>
  <si>
    <t>SK1586</t>
  </si>
  <si>
    <t>SK1587</t>
  </si>
  <si>
    <t>SK1588</t>
  </si>
  <si>
    <t>SK1589</t>
  </si>
  <si>
    <t>SK1590</t>
  </si>
  <si>
    <t>SK1591</t>
  </si>
  <si>
    <t>SK1592</t>
  </si>
  <si>
    <t>SK1593</t>
  </si>
  <si>
    <t>SK1594</t>
  </si>
  <si>
    <t>SK1595</t>
  </si>
  <si>
    <t>SK1596</t>
  </si>
  <si>
    <t>SK1597</t>
  </si>
  <si>
    <t>SK1598</t>
  </si>
  <si>
    <t>SK1599</t>
  </si>
  <si>
    <t>SK1600</t>
  </si>
  <si>
    <t>SK1601</t>
  </si>
  <si>
    <t>SK1602</t>
  </si>
  <si>
    <t>SK1603</t>
  </si>
  <si>
    <t>SK1604</t>
  </si>
  <si>
    <t>SK1605</t>
  </si>
  <si>
    <t>SK1606</t>
  </si>
  <si>
    <t>SK1607</t>
  </si>
  <si>
    <t>SK1608</t>
  </si>
  <si>
    <t>SK1609</t>
  </si>
  <si>
    <t>SK1610</t>
  </si>
  <si>
    <t>SK1611</t>
  </si>
  <si>
    <t>SK1612</t>
  </si>
  <si>
    <t>SK1613</t>
  </si>
  <si>
    <t>SK1614</t>
  </si>
  <si>
    <t>SK1615</t>
  </si>
  <si>
    <t>SK1616</t>
  </si>
  <si>
    <t>SK1617</t>
  </si>
  <si>
    <t>SK1618</t>
  </si>
  <si>
    <t>SK1619</t>
  </si>
  <si>
    <t>SK1620</t>
  </si>
  <si>
    <t>SK1621</t>
  </si>
  <si>
    <t>SK1622</t>
  </si>
  <si>
    <t>SK1623</t>
  </si>
  <si>
    <t>SK1624</t>
  </si>
  <si>
    <t>SK1625</t>
  </si>
  <si>
    <t>SK1626</t>
  </si>
  <si>
    <t>SK1627</t>
  </si>
  <si>
    <t>SK1628</t>
  </si>
  <si>
    <t>SK1629</t>
  </si>
  <si>
    <t>SK1630</t>
  </si>
  <si>
    <t>SK1631</t>
  </si>
  <si>
    <t>SK1632</t>
  </si>
  <si>
    <t>SK1633</t>
  </si>
  <si>
    <t>SK1634</t>
  </si>
  <si>
    <t>SK1635</t>
  </si>
  <si>
    <t>SK1636</t>
  </si>
  <si>
    <t>SK1637</t>
  </si>
  <si>
    <t>SK1638</t>
  </si>
  <si>
    <t>SK1639</t>
  </si>
  <si>
    <t>SK1640</t>
  </si>
  <si>
    <t>SK1641</t>
  </si>
  <si>
    <t>SK1642</t>
  </si>
  <si>
    <t>SK1643</t>
  </si>
  <si>
    <t>SK1644</t>
  </si>
  <si>
    <t>SK1645</t>
  </si>
  <si>
    <t>SK1646</t>
  </si>
  <si>
    <t>SK1647</t>
  </si>
  <si>
    <t>SK1648</t>
  </si>
  <si>
    <t>SK1649</t>
  </si>
  <si>
    <t>SK1650</t>
  </si>
  <si>
    <t>SK1651</t>
  </si>
  <si>
    <t>SK1652</t>
  </si>
  <si>
    <t>SK1653</t>
  </si>
  <si>
    <t>SK1654</t>
  </si>
  <si>
    <t>SK1655</t>
  </si>
  <si>
    <t>SK1656</t>
  </si>
  <si>
    <t>SK1657</t>
  </si>
  <si>
    <t>SK1658</t>
  </si>
  <si>
    <t>SK1659</t>
  </si>
  <si>
    <t>SK1660</t>
  </si>
  <si>
    <t>SK1661</t>
  </si>
  <si>
    <t>SK1662</t>
  </si>
  <si>
    <t>SK1663</t>
  </si>
  <si>
    <t>SK1664</t>
  </si>
  <si>
    <t>SK1665</t>
  </si>
  <si>
    <t>SK1666</t>
  </si>
  <si>
    <t>SK1667</t>
  </si>
  <si>
    <t>SK1668</t>
  </si>
  <si>
    <t>SK1669</t>
  </si>
  <si>
    <t>SK1670</t>
  </si>
  <si>
    <t>SK1671</t>
  </si>
  <si>
    <t>SK1672</t>
  </si>
  <si>
    <t>SK1673</t>
  </si>
  <si>
    <t>SK1674</t>
  </si>
  <si>
    <t>SK1675</t>
  </si>
  <si>
    <t>SK1676</t>
  </si>
  <si>
    <t>SK1677</t>
  </si>
  <si>
    <t>SK1678</t>
  </si>
  <si>
    <t>SK1679</t>
  </si>
  <si>
    <t>SK1680</t>
  </si>
  <si>
    <t>SK1681</t>
  </si>
  <si>
    <t>SK1682</t>
  </si>
  <si>
    <t>SK1683</t>
  </si>
  <si>
    <t>SK1684</t>
  </si>
  <si>
    <t>SK1685</t>
  </si>
  <si>
    <t>SK1686</t>
  </si>
  <si>
    <t>SK1687</t>
  </si>
  <si>
    <t>SK1688</t>
  </si>
  <si>
    <t>SK1689</t>
  </si>
  <si>
    <t>SK1690</t>
  </si>
  <si>
    <t>SK1691</t>
  </si>
  <si>
    <t>SK1692</t>
  </si>
  <si>
    <t>SK1693</t>
  </si>
  <si>
    <t>SK1694</t>
  </si>
  <si>
    <t>SK1695</t>
  </si>
  <si>
    <t>SK1696</t>
  </si>
  <si>
    <t>SK1697</t>
  </si>
  <si>
    <t>SK1698</t>
  </si>
  <si>
    <t>SK1699</t>
  </si>
  <si>
    <t>SK1700</t>
  </si>
  <si>
    <t>SK1701</t>
  </si>
  <si>
    <t>SK1702</t>
  </si>
  <si>
    <t>SK1703</t>
  </si>
  <si>
    <t>SK1704</t>
  </si>
  <si>
    <t>SK1705</t>
  </si>
  <si>
    <t>SK1706</t>
  </si>
  <si>
    <t>SK1707</t>
  </si>
  <si>
    <t>SK1708</t>
  </si>
  <si>
    <t>SK1709</t>
  </si>
  <si>
    <t>SK1710</t>
  </si>
  <si>
    <t>SK1711</t>
  </si>
  <si>
    <t>SK1712</t>
  </si>
  <si>
    <t>SK1713</t>
  </si>
  <si>
    <t>SK1714</t>
  </si>
  <si>
    <t>SK1715</t>
  </si>
  <si>
    <t>SK1716</t>
  </si>
  <si>
    <t>SK1717</t>
  </si>
  <si>
    <t>SK1718</t>
  </si>
  <si>
    <t>SK1719</t>
  </si>
  <si>
    <t>SK1720</t>
  </si>
  <si>
    <t>SK1721</t>
  </si>
  <si>
    <t>SK1722</t>
  </si>
  <si>
    <t>SK1723</t>
  </si>
  <si>
    <t>SK1724</t>
  </si>
  <si>
    <t>SK1725</t>
  </si>
  <si>
    <t>SK1726</t>
  </si>
  <si>
    <t>SK1727</t>
  </si>
  <si>
    <t>SK1728</t>
  </si>
  <si>
    <t>SK1729</t>
  </si>
  <si>
    <t>SK1730</t>
  </si>
  <si>
    <t>SK1731</t>
  </si>
  <si>
    <t>SK1732</t>
  </si>
  <si>
    <t>SK1733</t>
  </si>
  <si>
    <t>SK1734</t>
  </si>
  <si>
    <t>SK1735</t>
  </si>
  <si>
    <t>SK1736</t>
  </si>
  <si>
    <t>SK1737</t>
  </si>
  <si>
    <t>SK1738</t>
  </si>
  <si>
    <t>SK1739</t>
  </si>
  <si>
    <t>SK1740</t>
  </si>
  <si>
    <t>SK1741</t>
  </si>
  <si>
    <t>SK1742</t>
  </si>
  <si>
    <t>SK1743</t>
  </si>
  <si>
    <t>SK1744</t>
  </si>
  <si>
    <t>SK1745</t>
  </si>
  <si>
    <t>SK1746</t>
  </si>
  <si>
    <t>SK1747</t>
  </si>
  <si>
    <t>SK1748</t>
  </si>
  <si>
    <t>SK1749</t>
  </si>
  <si>
    <t>SK1750</t>
  </si>
  <si>
    <t>SK1751</t>
  </si>
  <si>
    <t>SK1752</t>
  </si>
  <si>
    <t>SK1753</t>
  </si>
  <si>
    <t>SK1754</t>
  </si>
  <si>
    <t>SK1755</t>
  </si>
  <si>
    <t>SK1756</t>
  </si>
  <si>
    <t>SK1757</t>
  </si>
  <si>
    <t>SK1758</t>
  </si>
  <si>
    <t>SK1759</t>
  </si>
  <si>
    <t>SK1760</t>
  </si>
  <si>
    <t>SK1761</t>
  </si>
  <si>
    <t>SK1762</t>
  </si>
  <si>
    <t>SK1763</t>
  </si>
  <si>
    <t>SK1764</t>
  </si>
  <si>
    <t>SK1765</t>
  </si>
  <si>
    <t>SK1766</t>
  </si>
  <si>
    <t>SK1767</t>
  </si>
  <si>
    <t>SK1768</t>
  </si>
  <si>
    <t>SK1769</t>
  </si>
  <si>
    <t>SK1770</t>
  </si>
  <si>
    <t>SK1771</t>
  </si>
  <si>
    <t>SK1772</t>
  </si>
  <si>
    <t>SK1773</t>
  </si>
  <si>
    <t>SK1774</t>
  </si>
  <si>
    <t>SK1775</t>
  </si>
  <si>
    <t>SK1776</t>
  </si>
  <si>
    <t>SK1777</t>
  </si>
  <si>
    <t>SK1778</t>
  </si>
  <si>
    <t>SK1779</t>
  </si>
  <si>
    <t>SK1780</t>
  </si>
  <si>
    <t>SK1781</t>
  </si>
  <si>
    <t>SK1782</t>
  </si>
  <si>
    <t>SK1783</t>
  </si>
  <si>
    <t>SK1784</t>
  </si>
  <si>
    <t>SK1785</t>
  </si>
  <si>
    <t>SK1786</t>
  </si>
  <si>
    <t>SK1787</t>
  </si>
  <si>
    <t>SK1788</t>
  </si>
  <si>
    <t>SK1789</t>
  </si>
  <si>
    <t>SK1790</t>
  </si>
  <si>
    <t>SK1791</t>
  </si>
  <si>
    <t>SK1792</t>
  </si>
  <si>
    <t>SK1793</t>
  </si>
  <si>
    <t>SK1794</t>
  </si>
  <si>
    <t>SK1795</t>
  </si>
  <si>
    <t>SK1796</t>
  </si>
  <si>
    <t>SK1797</t>
  </si>
  <si>
    <t>SK1798</t>
  </si>
  <si>
    <t>SK1799</t>
  </si>
  <si>
    <t>SK1800</t>
  </si>
  <si>
    <t>SK1801</t>
  </si>
  <si>
    <t>SK1802</t>
  </si>
  <si>
    <t>SK1803</t>
  </si>
  <si>
    <t>SK1804</t>
  </si>
  <si>
    <t>SK1805</t>
  </si>
  <si>
    <t>SK1806</t>
  </si>
  <si>
    <t>SK1807</t>
  </si>
  <si>
    <t>SK1808</t>
  </si>
  <si>
    <t>SK1809</t>
  </si>
  <si>
    <t>SK1810</t>
  </si>
  <si>
    <t>SK1811</t>
  </si>
  <si>
    <t>SK1812</t>
  </si>
  <si>
    <t>SK1813</t>
  </si>
  <si>
    <t>SK1814</t>
  </si>
  <si>
    <t>SK1815</t>
  </si>
  <si>
    <t>SK1816</t>
  </si>
  <si>
    <t>SK1817</t>
  </si>
  <si>
    <t>SK1818</t>
  </si>
  <si>
    <t>SK1819</t>
  </si>
  <si>
    <t>SK1820</t>
  </si>
  <si>
    <t>SK1821</t>
  </si>
  <si>
    <t>SK1822</t>
  </si>
  <si>
    <t>SK1823</t>
  </si>
  <si>
    <t>SK1824</t>
  </si>
  <si>
    <t>SK1825</t>
  </si>
  <si>
    <t>SK1826</t>
  </si>
  <si>
    <t>SK1827</t>
  </si>
  <si>
    <t>SK1828</t>
  </si>
  <si>
    <t>SK1829</t>
  </si>
  <si>
    <t>SK1830</t>
  </si>
  <si>
    <t>SK1831</t>
  </si>
  <si>
    <t>SK1832</t>
  </si>
  <si>
    <t>SK1833</t>
  </si>
  <si>
    <t>SK1834</t>
  </si>
  <si>
    <t>SK1835</t>
  </si>
  <si>
    <t>SK1836</t>
  </si>
  <si>
    <t>SK1837</t>
  </si>
  <si>
    <t>SK1838</t>
  </si>
  <si>
    <t>SK1839</t>
  </si>
  <si>
    <t>SK1840</t>
  </si>
  <si>
    <t>SK1841</t>
  </si>
  <si>
    <t>SK1842</t>
  </si>
  <si>
    <t>SK1843</t>
  </si>
  <si>
    <t>SK1844</t>
  </si>
  <si>
    <t>SK1845</t>
  </si>
  <si>
    <t>SK1846</t>
  </si>
  <si>
    <t>SK1847</t>
  </si>
  <si>
    <t>SK1848</t>
  </si>
  <si>
    <t>SK1849</t>
  </si>
  <si>
    <t>SK1850</t>
  </si>
  <si>
    <t>SK1851</t>
  </si>
  <si>
    <t>SK1852</t>
  </si>
  <si>
    <t>SK1853</t>
  </si>
  <si>
    <t>SK1854</t>
  </si>
  <si>
    <t>SK1855</t>
  </si>
  <si>
    <t>SK1856</t>
  </si>
  <si>
    <t>SK1857</t>
  </si>
  <si>
    <t>SK1858</t>
  </si>
  <si>
    <t>SK1859</t>
  </si>
  <si>
    <t>SK1860</t>
  </si>
  <si>
    <t>SK1861</t>
  </si>
  <si>
    <t>SK1862</t>
  </si>
  <si>
    <t>SK1863</t>
  </si>
  <si>
    <t>SK1864</t>
  </si>
  <si>
    <t>SK1865</t>
  </si>
  <si>
    <t>SK1866</t>
  </si>
  <si>
    <t>SK1867</t>
  </si>
  <si>
    <t>SK1868</t>
  </si>
  <si>
    <t>SK1869</t>
  </si>
  <si>
    <t>SK1870</t>
  </si>
  <si>
    <t>SK1871</t>
  </si>
  <si>
    <t>SK1872</t>
  </si>
  <si>
    <t>SK1873</t>
  </si>
  <si>
    <t>SK1874</t>
  </si>
  <si>
    <t>SK1875</t>
  </si>
  <si>
    <t>SK1876</t>
  </si>
  <si>
    <t>SK1877</t>
  </si>
  <si>
    <t>SK1878</t>
  </si>
  <si>
    <t>SK1879</t>
  </si>
  <si>
    <t>SK1880</t>
  </si>
  <si>
    <t>SK1881</t>
  </si>
  <si>
    <t>SK1882</t>
  </si>
  <si>
    <t>SK1883</t>
  </si>
  <si>
    <t>SK1884</t>
  </si>
  <si>
    <t>SK1885</t>
  </si>
  <si>
    <t>SK1886</t>
  </si>
  <si>
    <t>SK1887</t>
  </si>
  <si>
    <t>SK1888</t>
  </si>
  <si>
    <t>SK1889</t>
  </si>
  <si>
    <t>SK1890</t>
  </si>
  <si>
    <t>SK1891</t>
  </si>
  <si>
    <t>SK1892</t>
  </si>
  <si>
    <t>SK1893</t>
  </si>
  <si>
    <t>SK1894</t>
  </si>
  <si>
    <t>SK1895</t>
  </si>
  <si>
    <t>SK1896</t>
  </si>
  <si>
    <t>SK1897</t>
  </si>
  <si>
    <t>SK1898</t>
  </si>
  <si>
    <t>SK1899</t>
  </si>
  <si>
    <t>SK1900</t>
  </si>
  <si>
    <t>SK1901</t>
  </si>
  <si>
    <t>SK1902</t>
  </si>
  <si>
    <t>SK1903</t>
  </si>
  <si>
    <t>SK1904</t>
  </si>
  <si>
    <t>SK1905</t>
  </si>
  <si>
    <t>SK1906</t>
  </si>
  <si>
    <t>SK1907</t>
  </si>
  <si>
    <t>SK1908</t>
  </si>
  <si>
    <t>SK1909</t>
  </si>
  <si>
    <t>SK1910</t>
  </si>
  <si>
    <t>SK1911</t>
  </si>
  <si>
    <t>SK1912</t>
  </si>
  <si>
    <t>SK1913</t>
  </si>
  <si>
    <t>SK1914</t>
  </si>
  <si>
    <t>SK1915</t>
  </si>
  <si>
    <t>SK1916</t>
  </si>
  <si>
    <t>SK1917</t>
  </si>
  <si>
    <t>SK1918</t>
  </si>
  <si>
    <t>SK1919</t>
  </si>
  <si>
    <t>SK1920</t>
  </si>
  <si>
    <t>SK1921</t>
  </si>
  <si>
    <t>SK1922</t>
  </si>
  <si>
    <t>SK1923</t>
  </si>
  <si>
    <t>SK1924</t>
  </si>
  <si>
    <t>SK1925</t>
  </si>
  <si>
    <t>SK1926</t>
  </si>
  <si>
    <t>SK1927</t>
  </si>
  <si>
    <t>SK1928</t>
  </si>
  <si>
    <t>SK1929</t>
  </si>
  <si>
    <t>SK1930</t>
  </si>
  <si>
    <t>SK1931</t>
  </si>
  <si>
    <t>SK1932</t>
  </si>
  <si>
    <t>SK1933</t>
  </si>
  <si>
    <t>SK1934</t>
  </si>
  <si>
    <t>SK1935</t>
  </si>
  <si>
    <t>SK1936</t>
  </si>
  <si>
    <t>SK1937</t>
  </si>
  <si>
    <t>SK1938</t>
  </si>
  <si>
    <t>SK1939</t>
  </si>
  <si>
    <t>SK1940</t>
  </si>
  <si>
    <t>SK1941</t>
  </si>
  <si>
    <t>SK1942</t>
  </si>
  <si>
    <t>SK1943</t>
  </si>
  <si>
    <t>SK1944</t>
  </si>
  <si>
    <t>SK1945</t>
  </si>
  <si>
    <t>SK1946</t>
  </si>
  <si>
    <t>SK1947</t>
  </si>
  <si>
    <t>SK1948</t>
  </si>
  <si>
    <t>SK1949</t>
  </si>
  <si>
    <t>SK1950</t>
  </si>
  <si>
    <t>SK1951</t>
  </si>
  <si>
    <t>SK1952</t>
  </si>
  <si>
    <t>SK1953</t>
  </si>
  <si>
    <t>SK1954</t>
  </si>
  <si>
    <t>SK1955</t>
  </si>
  <si>
    <t>SK1956</t>
  </si>
  <si>
    <t>SK1957</t>
  </si>
  <si>
    <t>SK1958</t>
  </si>
  <si>
    <t>SK1959</t>
  </si>
  <si>
    <t>SK1960</t>
  </si>
  <si>
    <t>SK1961</t>
  </si>
  <si>
    <t>SK1962</t>
  </si>
  <si>
    <t>SK1963</t>
  </si>
  <si>
    <t>SK1964</t>
  </si>
  <si>
    <t>SK1965</t>
  </si>
  <si>
    <t>SK1966</t>
  </si>
  <si>
    <t>SK1967</t>
  </si>
  <si>
    <t>SK1968</t>
  </si>
  <si>
    <t>SK1969</t>
  </si>
  <si>
    <t>SK1970</t>
  </si>
  <si>
    <t>SK1971</t>
  </si>
  <si>
    <t>SK1972</t>
  </si>
  <si>
    <t>SK1973</t>
  </si>
  <si>
    <t>SK1974</t>
  </si>
  <si>
    <t>SK1975</t>
  </si>
  <si>
    <t>SK1976</t>
  </si>
  <si>
    <t>SK1977</t>
  </si>
  <si>
    <t>SK1978</t>
  </si>
  <si>
    <t>SK1979</t>
  </si>
  <si>
    <t>SK1980</t>
  </si>
  <si>
    <t>SK1981</t>
  </si>
  <si>
    <t>SK1982</t>
  </si>
  <si>
    <t>SK1983</t>
  </si>
  <si>
    <t>SK1984</t>
  </si>
  <si>
    <t>SK1985</t>
  </si>
  <si>
    <t>SK1986</t>
  </si>
  <si>
    <t>SK1987</t>
  </si>
  <si>
    <t>SK1988</t>
  </si>
  <si>
    <t>SK1989</t>
  </si>
  <si>
    <t>SK1990</t>
  </si>
  <si>
    <t>SK1991</t>
  </si>
  <si>
    <t>SK1992</t>
  </si>
  <si>
    <t>SK1993</t>
  </si>
  <si>
    <t>SK1994</t>
  </si>
  <si>
    <t>SK1995</t>
  </si>
  <si>
    <t>SK1996</t>
  </si>
  <si>
    <t>SK1997</t>
  </si>
  <si>
    <t>SK1998</t>
  </si>
  <si>
    <t>SK1999</t>
  </si>
  <si>
    <t>SK2000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</si>
</sst>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[RouteProfitDashboard.xlsx]Sheet1!PivotTable1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Sheet1!$A$4:$A$15</c:f>
              <c:strCache>
                <c:ptCount val="11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(blank)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90651722.299999982</c:v>
                </c:pt>
                <c:pt idx="1">
                  <c:v>75136900.24999997</c:v>
                </c:pt>
                <c:pt idx="2">
                  <c:v>88744012.230000004</c:v>
                </c:pt>
                <c:pt idx="3">
                  <c:v>76121973.930000007</c:v>
                </c:pt>
                <c:pt idx="4">
                  <c:v>88406570.480000019</c:v>
                </c:pt>
                <c:pt idx="5">
                  <c:v>76006832.51000002</c:v>
                </c:pt>
                <c:pt idx="6">
                  <c:v>87568392.549999997</c:v>
                </c:pt>
                <c:pt idx="7">
                  <c:v>92439863.840000048</c:v>
                </c:pt>
                <c:pt idx="8">
                  <c:v>88685213.320000008</c:v>
                </c:pt>
                <c:pt idx="9">
                  <c:v>70368387.769999966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FC0-BFF6-EA4D01CD7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2693383"/>
        <c:axId val="1952318472"/>
      </c:barChart>
      <c:catAx>
        <c:axId val="1582693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18472"/>
        <c:crosses val="autoZero"/>
        <c:auto val="1"/>
        <c:lblAlgn val="ctr"/>
        <c:lblOffset val="100"/>
        <c:noMultiLvlLbl val="0"/>
      </c:catAx>
      <c:valAx>
        <c:axId val="195231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693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[RouteProfitDashboard.xlsx]Sheet1!PivotTable1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Sheet1!$A$4:$A$15</c:f>
              <c:strCache>
                <c:ptCount val="11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(blank)</c:v>
                </c:pt>
              </c:strCache>
            </c:strRef>
          </c:cat>
          <c:val>
            <c:numRef>
              <c:f>Sheet1!$B$4:$B$15</c:f>
              <c:numCache>
                <c:formatCode>General</c:formatCode>
                <c:ptCount val="11"/>
                <c:pt idx="0">
                  <c:v>90651722.299999982</c:v>
                </c:pt>
                <c:pt idx="1">
                  <c:v>75136900.24999997</c:v>
                </c:pt>
                <c:pt idx="2">
                  <c:v>88744012.230000004</c:v>
                </c:pt>
                <c:pt idx="3">
                  <c:v>76121973.930000007</c:v>
                </c:pt>
                <c:pt idx="4">
                  <c:v>88406570.480000019</c:v>
                </c:pt>
                <c:pt idx="5">
                  <c:v>76006832.51000002</c:v>
                </c:pt>
                <c:pt idx="6">
                  <c:v>87568392.549999997</c:v>
                </c:pt>
                <c:pt idx="7">
                  <c:v>92439863.840000048</c:v>
                </c:pt>
                <c:pt idx="8">
                  <c:v>88685213.320000008</c:v>
                </c:pt>
                <c:pt idx="9">
                  <c:v>70368387.769999966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7C-4B30-BCC0-338EF2428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377352"/>
        <c:axId val="1952414728"/>
      </c:lineChart>
      <c:catAx>
        <c:axId val="1952377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414728"/>
        <c:crosses val="autoZero"/>
        <c:auto val="1"/>
        <c:lblAlgn val="ctr"/>
        <c:lblOffset val="100"/>
        <c:noMultiLvlLbl val="0"/>
      </c:catAx>
      <c:valAx>
        <c:axId val="195241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37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0</xdr:rowOff>
    </xdr:from>
    <xdr:to>
      <xdr:col>9</xdr:col>
      <xdr:colOff>523875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AF941C-CC88-030E-C40F-77820BB9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619125</xdr:colOff>
      <xdr:row>1</xdr:row>
      <xdr:rowOff>28575</xdr:rowOff>
    </xdr:from>
    <xdr:to>
      <xdr:col>9</xdr:col>
      <xdr:colOff>66675</xdr:colOff>
      <xdr:row>15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9DBB70B-E690-A6A0-9B35-877A5D1684AC}"/>
            </a:ext>
            <a:ext uri="{147F2762-F138-4A5C-976F-8EAC2B608ADB}">
              <a16:predDERef xmlns:a16="http://schemas.microsoft.com/office/drawing/2014/main" pred="{65AF941C-CC88-030E-C40F-77820BB94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</xdr:row>
      <xdr:rowOff>85725</xdr:rowOff>
    </xdr:from>
    <xdr:to>
      <xdr:col>10</xdr:col>
      <xdr:colOff>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AircraftType">
              <a:extLst>
                <a:ext uri="{FF2B5EF4-FFF2-40B4-BE49-F238E27FC236}">
                  <a16:creationId xmlns:a16="http://schemas.microsoft.com/office/drawing/2014/main" id="{BBF4778F-0DB2-A551-125B-F2B2B4725F95}"/>
                </a:ext>
                <a:ext uri="{147F2762-F138-4A5C-976F-8EAC2B608ADB}">
                  <a16:predDERef xmlns:a16="http://schemas.microsoft.com/office/drawing/2014/main" pred="{39DBB70B-E690-A6A0-9B35-877A5D1684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rcraft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</xdr:row>
      <xdr:rowOff>85725</xdr:rowOff>
    </xdr:from>
    <xdr:to>
      <xdr:col>10</xdr:col>
      <xdr:colOff>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RouteCode">
              <a:extLst>
                <a:ext uri="{FF2B5EF4-FFF2-40B4-BE49-F238E27FC236}">
                  <a16:creationId xmlns:a16="http://schemas.microsoft.com/office/drawing/2014/main" id="{BD64BC5B-764F-3C60-9437-B297FC0CBA01}"/>
                </a:ext>
                <a:ext uri="{147F2762-F138-4A5C-976F-8EAC2B608ADB}">
                  <a16:predDERef xmlns:a16="http://schemas.microsoft.com/office/drawing/2014/main" pred="{BBF4778F-0DB2-A551-125B-F2B2B4725F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uteCo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0</xdr:colOff>
      <xdr:row>1</xdr:row>
      <xdr:rowOff>85725</xdr:rowOff>
    </xdr:from>
    <xdr:to>
      <xdr:col>10</xdr:col>
      <xdr:colOff>0</xdr:colOff>
      <xdr:row>15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SeatsAvailable">
              <a:extLst>
                <a:ext uri="{FF2B5EF4-FFF2-40B4-BE49-F238E27FC236}">
                  <a16:creationId xmlns:a16="http://schemas.microsoft.com/office/drawing/2014/main" id="{FE4AA437-7CA0-A2C6-9381-58720A9946C1}"/>
                </a:ext>
                <a:ext uri="{147F2762-F138-4A5C-976F-8EAC2B608ADB}">
                  <a16:predDERef xmlns:a16="http://schemas.microsoft.com/office/drawing/2014/main" pred="{BD64BC5B-764F-3C60-9437-B297FC0CBA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tsAvailab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24425" y="2762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209550</xdr:colOff>
      <xdr:row>2</xdr:row>
      <xdr:rowOff>104775</xdr:rowOff>
    </xdr:from>
    <xdr:to>
      <xdr:col>10</xdr:col>
      <xdr:colOff>209550</xdr:colOff>
      <xdr:row>16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FlightMonth">
              <a:extLst>
                <a:ext uri="{FF2B5EF4-FFF2-40B4-BE49-F238E27FC236}">
                  <a16:creationId xmlns:a16="http://schemas.microsoft.com/office/drawing/2014/main" id="{0BB5FACD-ECDA-AA7F-DA6C-AB2B0B8177B6}"/>
                </a:ext>
                <a:ext uri="{147F2762-F138-4A5C-976F-8EAC2B608ADB}">
                  <a16:predDERef xmlns:a16="http://schemas.microsoft.com/office/drawing/2014/main" pred="{FE4AA437-7CA0-A2C6-9381-58720A994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lightMont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33975" y="4857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4.654810763888" createdVersion="8" refreshedVersion="8" minRefreshableVersion="3" recordCount="1001" xr:uid="{6145265E-D187-49D9-86CC-DC2C88CD792A}">
  <cacheSource type="worksheet">
    <worksheetSource ref="A1:N1048576" sheet="in"/>
  </cacheSource>
  <cacheFields count="14">
    <cacheField name="FlightID" numFmtId="0">
      <sharedItems containsBlank="1"/>
    </cacheField>
    <cacheField name="RouteCode" numFmtId="0">
      <sharedItems containsBlank="1" count="91">
        <s v="JFK-DEL"/>
        <s v="JFK-BLR"/>
        <s v="DEL-JFK"/>
        <s v="JFK-SIN"/>
        <s v="BOM-LHR"/>
        <s v="MAA-SIN"/>
        <s v="DXB-DEL"/>
        <s v="DXB-CCU"/>
        <s v="DXB-MAA"/>
        <s v="BOM-BLR"/>
        <s v="DXB-SIN"/>
        <s v="BLR-CCU"/>
        <s v="MAA-LHR"/>
        <s v="BKK-LHR"/>
        <s v="BOM-SIN"/>
        <s v="JFK-DXB"/>
        <s v="CCU-DEL"/>
        <s v="LHR-JFK"/>
        <s v="DXB-LHR"/>
        <s v="BLR-BKK"/>
        <s v="DEL-SIN"/>
        <s v="LHR-MAA"/>
        <s v="CCU-BOM"/>
        <s v="SIN-DEL"/>
        <s v="BOM-BKK"/>
        <s v="BLR-DEL"/>
        <s v="BKK-DEL"/>
        <s v="SIN-BLR"/>
        <s v="LHR-CCU"/>
        <s v="BLR-DXB"/>
        <s v="DEL-LHR"/>
        <s v="DEL-DXB"/>
        <s v="BOM-CCU"/>
        <s v="DEL-BOM"/>
        <s v="SIN-BKK"/>
        <s v="DXB-BLR"/>
        <s v="JFK-LHR"/>
        <s v="CCU-MAA"/>
        <s v="SIN-CCU"/>
        <s v="LHR-DEL"/>
        <s v="DEL-MAA"/>
        <s v="BKK-BLR"/>
        <s v="BKK-BOM"/>
        <s v="MAA-CCU"/>
        <s v="JFK-MAA"/>
        <s v="MAA-BKK"/>
        <s v="BKK-SIN"/>
        <s v="LHR-DXB"/>
        <s v="CCU-LHR"/>
        <s v="JFK-BKK"/>
        <s v="BLR-JFK"/>
        <s v="DEL-BKK"/>
        <s v="BLR-SIN"/>
        <s v="SIN-MAA"/>
        <s v="SIN-JFK"/>
        <s v="LHR-BLR"/>
        <s v="JFK-BOM"/>
        <s v="MAA-DEL"/>
        <s v="BOM-DXB"/>
        <s v="MAA-BOM"/>
        <s v="LHR-SIN"/>
        <s v="BKK-DXB"/>
        <s v="JFK-CCU"/>
        <s v="DXB-BOM"/>
        <s v="BOM-MAA"/>
        <s v="CCU-BKK"/>
        <s v="CCU-JFK"/>
        <s v="BLR-MAA"/>
        <s v="BKK-CCU"/>
        <s v="MAA-BLR"/>
        <s v="CCU-SIN"/>
        <s v="DXB-BKK"/>
        <s v="LHR-BOM"/>
        <s v="BKK-JFK"/>
        <s v="LHR-BKK"/>
        <s v="DXB-JFK"/>
        <s v="BLR-BOM"/>
        <s v="DEL-BLR"/>
        <s v="SIN-LHR"/>
        <s v="DEL-CCU"/>
        <s v="CCU-DXB"/>
        <s v="BKK-MAA"/>
        <s v="BOM-JFK"/>
        <s v="BOM-DEL"/>
        <s v="MAA-JFK"/>
        <s v="SIN-DXB"/>
        <s v="MAA-DXB"/>
        <s v="SIN-BOM"/>
        <s v="CCU-BLR"/>
        <s v="BLR-LHR"/>
        <m/>
      </sharedItems>
    </cacheField>
    <cacheField name="Origin" numFmtId="0">
      <sharedItems containsBlank="1"/>
    </cacheField>
    <cacheField name="Destination" numFmtId="0">
      <sharedItems containsBlank="1"/>
    </cacheField>
    <cacheField name="FlightDate" numFmtId="0">
      <sharedItems containsNonDate="0" containsDate="1" containsString="0" containsBlank="1" minDate="2026-01-01T00:00:00" maxDate="2026-10-28T00:00:00"/>
    </cacheField>
    <cacheField name="FlightDurationMins" numFmtId="0">
      <sharedItems containsString="0" containsBlank="1" containsNumber="1" containsInteger="1" minValue="60" maxValue="599"/>
    </cacheField>
    <cacheField name="AircraftType" numFmtId="0">
      <sharedItems containsBlank="1" count="5">
        <s v="Boeing 777"/>
        <s v="Airbus A350"/>
        <s v="Boeing 737"/>
        <s v="Airbus A320"/>
        <m/>
      </sharedItems>
    </cacheField>
    <cacheField name="SeatsAvailable" numFmtId="0">
      <sharedItems containsString="0" containsBlank="1" containsNumber="1" containsInteger="1" minValue="150" maxValue="300" count="5">
        <n v="300"/>
        <n v="150"/>
        <n v="180"/>
        <n v="250"/>
        <m/>
      </sharedItems>
    </cacheField>
    <cacheField name="SeatsSold" numFmtId="0">
      <sharedItems containsString="0" containsBlank="1" containsNumber="1" containsInteger="1" minValue="50" maxValue="300"/>
    </cacheField>
    <cacheField name="Revenue" numFmtId="0">
      <sharedItems containsString="0" containsBlank="1" containsNumber="1" minValue="179085.8" maxValue="4069222.56"/>
    </cacheField>
    <cacheField name="OperationalCost" numFmtId="0">
      <sharedItems containsString="0" containsBlank="1" containsNumber="1" minValue="111763.41" maxValue="837806.58"/>
    </cacheField>
    <cacheField name="Profit" numFmtId="0">
      <sharedItems containsString="0" containsBlank="1" containsNumber="1" minValue="-496890.83000000007" maxValue="3722051.36"/>
    </cacheField>
    <cacheField name="FlightMonth" numFmtId="0">
      <sharedItems containsBlank="1" count="11">
        <s v="2026-08"/>
        <s v="2026-01"/>
        <s v="2026-06"/>
        <s v="2026-02"/>
        <s v="2026-03"/>
        <s v="2026-07"/>
        <s v="2026-05"/>
        <s v="2026-04"/>
        <s v="2026-09"/>
        <s v="2026-10"/>
        <m/>
      </sharedItems>
    </cacheField>
    <cacheField name="Occupancy Rate" numFmtId="0">
      <sharedItems containsString="0" containsBlank="1" containsNumber="1" minValue="0.16666666666666666" maxValue="1"/>
    </cacheField>
  </cacheFields>
  <extLst>
    <ext xmlns:x14="http://schemas.microsoft.com/office/spreadsheetml/2009/9/main" uri="{725AE2AE-9491-48be-B2B4-4EB974FC3084}">
      <x14:pivotCacheDefinition pivotCacheId="341842915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SK1001"/>
    <x v="0"/>
    <s v="JFK"/>
    <s v="DEL"/>
    <d v="2026-08-03T00:00:00"/>
    <n v="390"/>
    <x v="0"/>
    <x v="0"/>
    <n v="166"/>
    <n v="1695421.1"/>
    <n v="538303.81000000006"/>
    <n v="1157117.29"/>
    <x v="0"/>
    <n v="0.55333333333333334"/>
  </r>
  <r>
    <s v="SK1002"/>
    <x v="1"/>
    <s v="JFK"/>
    <s v="BLR"/>
    <d v="2026-01-22T00:00:00"/>
    <n v="312"/>
    <x v="1"/>
    <x v="1"/>
    <n v="98"/>
    <n v="911135"/>
    <n v="318329.64"/>
    <n v="592805.36"/>
    <x v="1"/>
    <n v="0.65333333333333332"/>
  </r>
  <r>
    <s v="SK1003"/>
    <x v="2"/>
    <s v="DEL"/>
    <s v="JFK"/>
    <d v="2026-06-16T00:00:00"/>
    <n v="333"/>
    <x v="1"/>
    <x v="1"/>
    <n v="109"/>
    <n v="1063780.99"/>
    <n v="331340.59000000003"/>
    <n v="732440.39999999991"/>
    <x v="2"/>
    <n v="0.72666666666666668"/>
  </r>
  <r>
    <s v="SK1004"/>
    <x v="3"/>
    <s v="JFK"/>
    <s v="SIN"/>
    <d v="2026-02-04T00:00:00"/>
    <n v="265"/>
    <x v="2"/>
    <x v="0"/>
    <n v="99"/>
    <n v="1084076.47"/>
    <n v="340322.4"/>
    <n v="743754.07"/>
    <x v="3"/>
    <n v="0.33"/>
  </r>
  <r>
    <s v="SK1005"/>
    <x v="4"/>
    <s v="BOM"/>
    <s v="LHR"/>
    <d v="2026-02-13T00:00:00"/>
    <n v="221"/>
    <x v="3"/>
    <x v="2"/>
    <n v="63"/>
    <n v="738817.63"/>
    <n v="251015.86"/>
    <n v="487801.77"/>
    <x v="3"/>
    <n v="0.35"/>
  </r>
  <r>
    <s v="SK1006"/>
    <x v="5"/>
    <s v="MAA"/>
    <s v="SIN"/>
    <d v="2026-08-05T00:00:00"/>
    <n v="247"/>
    <x v="1"/>
    <x v="1"/>
    <n v="90"/>
    <n v="589975.39"/>
    <n v="227074.65"/>
    <n v="362900.74"/>
    <x v="0"/>
    <n v="0.6"/>
  </r>
  <r>
    <s v="SK1007"/>
    <x v="6"/>
    <s v="DXB"/>
    <s v="DEL"/>
    <d v="2026-06-12T00:00:00"/>
    <n v="478"/>
    <x v="2"/>
    <x v="3"/>
    <n v="54"/>
    <n v="762242.97"/>
    <n v="581850.37"/>
    <n v="180392.59999999998"/>
    <x v="2"/>
    <n v="0.216"/>
  </r>
  <r>
    <s v="SK1008"/>
    <x v="7"/>
    <s v="DXB"/>
    <s v="CCU"/>
    <d v="2026-03-03T00:00:00"/>
    <n v="158"/>
    <x v="1"/>
    <x v="0"/>
    <n v="263"/>
    <n v="3589043.42"/>
    <n v="281226.96999999997"/>
    <n v="3307816.45"/>
    <x v="4"/>
    <n v="0.87666666666666671"/>
  </r>
  <r>
    <s v="SK1009"/>
    <x v="8"/>
    <s v="DXB"/>
    <s v="MAA"/>
    <d v="2026-02-11T00:00:00"/>
    <n v="520"/>
    <x v="0"/>
    <x v="3"/>
    <n v="145"/>
    <n v="1542354.12"/>
    <n v="499425.58"/>
    <n v="1042928.54"/>
    <x v="3"/>
    <n v="0.57999999999999996"/>
  </r>
  <r>
    <s v="SK1010"/>
    <x v="6"/>
    <s v="DXB"/>
    <s v="DEL"/>
    <d v="2026-07-06T00:00:00"/>
    <n v="302"/>
    <x v="3"/>
    <x v="0"/>
    <n v="115"/>
    <n v="1206608.5900000001"/>
    <n v="363496.96000000002"/>
    <n v="843111.63000000012"/>
    <x v="5"/>
    <n v="0.38333333333333336"/>
  </r>
  <r>
    <s v="SK1011"/>
    <x v="9"/>
    <s v="BOM"/>
    <s v="BLR"/>
    <d v="2026-05-08T00:00:00"/>
    <n v="565"/>
    <x v="0"/>
    <x v="0"/>
    <n v="266"/>
    <n v="1813067.09"/>
    <n v="476025.54"/>
    <n v="1337041.55"/>
    <x v="6"/>
    <n v="0.88666666666666671"/>
  </r>
  <r>
    <s v="SK1012"/>
    <x v="10"/>
    <s v="DXB"/>
    <s v="SIN"/>
    <d v="2026-05-17T00:00:00"/>
    <n v="377"/>
    <x v="2"/>
    <x v="1"/>
    <n v="100"/>
    <n v="623294.80000000005"/>
    <n v="327924.73"/>
    <n v="295370.07000000007"/>
    <x v="6"/>
    <n v="0.66666666666666663"/>
  </r>
  <r>
    <s v="SK1013"/>
    <x v="11"/>
    <s v="BLR"/>
    <s v="CCU"/>
    <d v="2026-04-23T00:00:00"/>
    <n v="140"/>
    <x v="0"/>
    <x v="1"/>
    <n v="51"/>
    <n v="460639.56"/>
    <n v="150044.92000000001"/>
    <n v="310594.64"/>
    <x v="7"/>
    <n v="0.34"/>
  </r>
  <r>
    <s v="SK1014"/>
    <x v="12"/>
    <s v="MAA"/>
    <s v="LHR"/>
    <d v="2026-07-17T00:00:00"/>
    <n v="475"/>
    <x v="0"/>
    <x v="0"/>
    <n v="232"/>
    <n v="2816349.01"/>
    <n v="466514.48"/>
    <n v="2349834.5299999998"/>
    <x v="5"/>
    <n v="0.77333333333333332"/>
  </r>
  <r>
    <s v="SK1015"/>
    <x v="13"/>
    <s v="BKK"/>
    <s v="LHR"/>
    <d v="2026-05-04T00:00:00"/>
    <n v="246"/>
    <x v="3"/>
    <x v="0"/>
    <n v="142"/>
    <n v="1888643.4"/>
    <n v="329130.12"/>
    <n v="1559513.2799999998"/>
    <x v="6"/>
    <n v="0.47333333333333333"/>
  </r>
  <r>
    <s v="SK1016"/>
    <x v="14"/>
    <s v="BOM"/>
    <s v="SIN"/>
    <d v="2026-05-08T00:00:00"/>
    <n v="397"/>
    <x v="1"/>
    <x v="1"/>
    <n v="60"/>
    <n v="425567.77"/>
    <n v="305034.28999999998"/>
    <n v="120533.48000000004"/>
    <x v="6"/>
    <n v="0.4"/>
  </r>
  <r>
    <s v="SK1017"/>
    <x v="15"/>
    <s v="JFK"/>
    <s v="DXB"/>
    <d v="2026-09-11T00:00:00"/>
    <n v="512"/>
    <x v="2"/>
    <x v="0"/>
    <n v="300"/>
    <n v="1579345.59"/>
    <n v="505947.49"/>
    <n v="1073398.1000000001"/>
    <x v="8"/>
    <n v="1"/>
  </r>
  <r>
    <s v="SK1018"/>
    <x v="16"/>
    <s v="CCU"/>
    <s v="DEL"/>
    <d v="2026-04-14T00:00:00"/>
    <n v="313"/>
    <x v="0"/>
    <x v="0"/>
    <n v="266"/>
    <n v="2915897.65"/>
    <n v="307608.99"/>
    <n v="2608288.66"/>
    <x v="7"/>
    <n v="0.88666666666666671"/>
  </r>
  <r>
    <s v="SK1019"/>
    <x v="17"/>
    <s v="LHR"/>
    <s v="JFK"/>
    <d v="2026-10-16T00:00:00"/>
    <n v="457"/>
    <x v="2"/>
    <x v="0"/>
    <n v="197"/>
    <n v="1457332.21"/>
    <n v="616560.15"/>
    <n v="840772.05999999994"/>
    <x v="9"/>
    <n v="0.65666666666666662"/>
  </r>
  <r>
    <s v="SK1020"/>
    <x v="18"/>
    <s v="DXB"/>
    <s v="LHR"/>
    <d v="2026-01-22T00:00:00"/>
    <n v="97"/>
    <x v="3"/>
    <x v="1"/>
    <n v="100"/>
    <n v="1370455.87"/>
    <n v="166354.31"/>
    <n v="1204101.56"/>
    <x v="1"/>
    <n v="0.66666666666666663"/>
  </r>
  <r>
    <s v="SK1021"/>
    <x v="19"/>
    <s v="BLR"/>
    <s v="BKK"/>
    <d v="2026-05-27T00:00:00"/>
    <n v="575"/>
    <x v="0"/>
    <x v="0"/>
    <n v="98"/>
    <n v="345278.04"/>
    <n v="837806.58"/>
    <n v="-492528.54"/>
    <x v="6"/>
    <n v="0.32666666666666666"/>
  </r>
  <r>
    <s v="SK1022"/>
    <x v="20"/>
    <s v="DEL"/>
    <s v="SIN"/>
    <d v="2026-06-30T00:00:00"/>
    <n v="158"/>
    <x v="1"/>
    <x v="1"/>
    <n v="112"/>
    <n v="746856.79"/>
    <n v="175114.76"/>
    <n v="571742.03"/>
    <x v="2"/>
    <n v="0.7466666666666667"/>
  </r>
  <r>
    <s v="SK1023"/>
    <x v="8"/>
    <s v="DXB"/>
    <s v="MAA"/>
    <d v="2026-06-23T00:00:00"/>
    <n v="347"/>
    <x v="0"/>
    <x v="2"/>
    <n v="176"/>
    <n v="1622712.23"/>
    <n v="476613.92"/>
    <n v="1146098.31"/>
    <x v="2"/>
    <n v="0.97777777777777775"/>
  </r>
  <r>
    <s v="SK1024"/>
    <x v="21"/>
    <s v="LHR"/>
    <s v="MAA"/>
    <d v="2026-01-13T00:00:00"/>
    <n v="565"/>
    <x v="0"/>
    <x v="1"/>
    <n v="85"/>
    <n v="1069261.08"/>
    <n v="614560.73"/>
    <n v="454700.35000000009"/>
    <x v="1"/>
    <n v="0.56666666666666665"/>
  </r>
  <r>
    <s v="SK1025"/>
    <x v="22"/>
    <s v="CCU"/>
    <s v="BOM"/>
    <d v="2026-02-20T00:00:00"/>
    <n v="249"/>
    <x v="2"/>
    <x v="2"/>
    <n v="107"/>
    <n v="1425759.53"/>
    <n v="258118.81"/>
    <n v="1167640.72"/>
    <x v="3"/>
    <n v="0.59444444444444444"/>
  </r>
  <r>
    <s v="SK1026"/>
    <x v="23"/>
    <s v="SIN"/>
    <s v="DEL"/>
    <d v="2026-02-22T00:00:00"/>
    <n v="64"/>
    <x v="0"/>
    <x v="0"/>
    <n v="55"/>
    <n v="199109.94"/>
    <n v="205804.69"/>
    <n v="-6694.75"/>
    <x v="3"/>
    <n v="0.18333333333333332"/>
  </r>
  <r>
    <s v="SK1027"/>
    <x v="24"/>
    <s v="BOM"/>
    <s v="BKK"/>
    <d v="2026-05-27T00:00:00"/>
    <n v="179"/>
    <x v="0"/>
    <x v="3"/>
    <n v="141"/>
    <n v="1681920.15"/>
    <n v="245932.82"/>
    <n v="1435987.3299999998"/>
    <x v="6"/>
    <n v="0.56399999999999995"/>
  </r>
  <r>
    <s v="SK1028"/>
    <x v="25"/>
    <s v="BLR"/>
    <s v="DEL"/>
    <d v="2026-05-02T00:00:00"/>
    <n v="572"/>
    <x v="0"/>
    <x v="2"/>
    <n v="145"/>
    <n v="1390654.4"/>
    <n v="662124.21"/>
    <n v="728530.19"/>
    <x v="6"/>
    <n v="0.80555555555555558"/>
  </r>
  <r>
    <s v="SK1029"/>
    <x v="26"/>
    <s v="BKK"/>
    <s v="DEL"/>
    <d v="2026-06-03T00:00:00"/>
    <n v="494"/>
    <x v="2"/>
    <x v="2"/>
    <n v="78"/>
    <n v="342643.99"/>
    <n v="352907.71"/>
    <n v="-10263.72000000003"/>
    <x v="2"/>
    <n v="0.43333333333333335"/>
  </r>
  <r>
    <s v="SK1030"/>
    <x v="27"/>
    <s v="SIN"/>
    <s v="BLR"/>
    <d v="2026-04-10T00:00:00"/>
    <n v="348"/>
    <x v="3"/>
    <x v="2"/>
    <n v="150"/>
    <n v="1167308.52"/>
    <n v="414021.08"/>
    <n v="753287.44"/>
    <x v="7"/>
    <n v="0.83333333333333337"/>
  </r>
  <r>
    <s v="SK1031"/>
    <x v="4"/>
    <s v="BOM"/>
    <s v="LHR"/>
    <d v="2026-09-14T00:00:00"/>
    <n v="384"/>
    <x v="2"/>
    <x v="0"/>
    <n v="65"/>
    <n v="250043.62"/>
    <n v="514682.3"/>
    <n v="-264638.68"/>
    <x v="8"/>
    <n v="0.21666666666666667"/>
  </r>
  <r>
    <s v="SK1032"/>
    <x v="7"/>
    <s v="DXB"/>
    <s v="CCU"/>
    <d v="2026-06-28T00:00:00"/>
    <n v="486"/>
    <x v="2"/>
    <x v="0"/>
    <n v="116"/>
    <n v="1490034.17"/>
    <n v="614635.12"/>
    <n v="875399.04999999993"/>
    <x v="2"/>
    <n v="0.38666666666666666"/>
  </r>
  <r>
    <s v="SK1033"/>
    <x v="28"/>
    <s v="LHR"/>
    <s v="CCU"/>
    <d v="2026-03-31T00:00:00"/>
    <n v="477"/>
    <x v="0"/>
    <x v="1"/>
    <n v="56"/>
    <n v="247406.76"/>
    <n v="546140.54"/>
    <n v="-298733.78000000003"/>
    <x v="4"/>
    <n v="0.37333333333333335"/>
  </r>
  <r>
    <s v="SK1034"/>
    <x v="29"/>
    <s v="BLR"/>
    <s v="DXB"/>
    <d v="2026-07-11T00:00:00"/>
    <n v="158"/>
    <x v="1"/>
    <x v="0"/>
    <n v="259"/>
    <n v="1554051.12"/>
    <n v="293208.17"/>
    <n v="1260842.9500000002"/>
    <x v="5"/>
    <n v="0.86333333333333329"/>
  </r>
  <r>
    <s v="SK1035"/>
    <x v="23"/>
    <s v="SIN"/>
    <s v="DEL"/>
    <d v="2026-09-30T00:00:00"/>
    <n v="121"/>
    <x v="1"/>
    <x v="0"/>
    <n v="266"/>
    <n v="1819598.33"/>
    <n v="286350.82"/>
    <n v="1533247.51"/>
    <x v="8"/>
    <n v="0.88666666666666671"/>
  </r>
  <r>
    <s v="SK1036"/>
    <x v="30"/>
    <s v="DEL"/>
    <s v="LHR"/>
    <d v="2026-10-11T00:00:00"/>
    <n v="443"/>
    <x v="1"/>
    <x v="3"/>
    <n v="160"/>
    <n v="639906.06999999995"/>
    <n v="374937.46"/>
    <n v="264968.60999999993"/>
    <x v="9"/>
    <n v="0.64"/>
  </r>
  <r>
    <s v="SK1037"/>
    <x v="31"/>
    <s v="DEL"/>
    <s v="DXB"/>
    <d v="2026-04-19T00:00:00"/>
    <n v="101"/>
    <x v="3"/>
    <x v="3"/>
    <n v="191"/>
    <n v="1832520.2"/>
    <n v="206716.21"/>
    <n v="1625803.99"/>
    <x v="7"/>
    <n v="0.76400000000000001"/>
  </r>
  <r>
    <s v="SK1038"/>
    <x v="27"/>
    <s v="SIN"/>
    <s v="BLR"/>
    <d v="2026-08-18T00:00:00"/>
    <n v="578"/>
    <x v="3"/>
    <x v="1"/>
    <n v="89"/>
    <n v="344710.89"/>
    <n v="696524.58"/>
    <n v="-351813.68999999994"/>
    <x v="0"/>
    <n v="0.59333333333333338"/>
  </r>
  <r>
    <s v="SK1039"/>
    <x v="15"/>
    <s v="JFK"/>
    <s v="DXB"/>
    <d v="2026-05-25T00:00:00"/>
    <n v="570"/>
    <x v="0"/>
    <x v="1"/>
    <n v="94"/>
    <n v="1131810.5900000001"/>
    <n v="510127.57"/>
    <n v="621683.02"/>
    <x v="6"/>
    <n v="0.62666666666666671"/>
  </r>
  <r>
    <s v="SK1040"/>
    <x v="32"/>
    <s v="BOM"/>
    <s v="CCU"/>
    <d v="2026-06-22T00:00:00"/>
    <n v="279"/>
    <x v="3"/>
    <x v="2"/>
    <n v="110"/>
    <n v="1416083.26"/>
    <n v="374844.54"/>
    <n v="1041238.72"/>
    <x v="2"/>
    <n v="0.61111111111111116"/>
  </r>
  <r>
    <s v="SK1041"/>
    <x v="26"/>
    <s v="BKK"/>
    <s v="DEL"/>
    <d v="2026-04-27T00:00:00"/>
    <n v="193"/>
    <x v="3"/>
    <x v="0"/>
    <n v="222"/>
    <n v="3249757.19"/>
    <n v="252330.9"/>
    <n v="2997426.29"/>
    <x v="7"/>
    <n v="0.74"/>
  </r>
  <r>
    <s v="SK1042"/>
    <x v="33"/>
    <s v="DEL"/>
    <s v="BOM"/>
    <d v="2026-01-20T00:00:00"/>
    <n v="500"/>
    <x v="3"/>
    <x v="3"/>
    <n v="98"/>
    <n v="1112200.46"/>
    <n v="534089.37"/>
    <n v="578111.09"/>
    <x v="1"/>
    <n v="0.39200000000000002"/>
  </r>
  <r>
    <s v="SK1043"/>
    <x v="34"/>
    <s v="SIN"/>
    <s v="BKK"/>
    <d v="2026-09-29T00:00:00"/>
    <n v="417"/>
    <x v="1"/>
    <x v="0"/>
    <n v="205"/>
    <n v="1440723.76"/>
    <n v="408029.56"/>
    <n v="1032694.2"/>
    <x v="8"/>
    <n v="0.68333333333333335"/>
  </r>
  <r>
    <s v="SK1044"/>
    <x v="35"/>
    <s v="DXB"/>
    <s v="BLR"/>
    <d v="2026-08-16T00:00:00"/>
    <n v="561"/>
    <x v="0"/>
    <x v="1"/>
    <n v="122"/>
    <n v="819148.43"/>
    <n v="675077.3"/>
    <n v="144071.13"/>
    <x v="0"/>
    <n v="0.81333333333333335"/>
  </r>
  <r>
    <s v="SK1045"/>
    <x v="36"/>
    <s v="JFK"/>
    <s v="LHR"/>
    <d v="2026-10-13T00:00:00"/>
    <n v="301"/>
    <x v="0"/>
    <x v="1"/>
    <n v="54"/>
    <n v="179085.8"/>
    <n v="304820.83"/>
    <n v="-125735.03000000003"/>
    <x v="9"/>
    <n v="0.36"/>
  </r>
  <r>
    <s v="SK1046"/>
    <x v="37"/>
    <s v="CCU"/>
    <s v="MAA"/>
    <d v="2026-08-05T00:00:00"/>
    <n v="520"/>
    <x v="2"/>
    <x v="2"/>
    <n v="154"/>
    <n v="1228586.44"/>
    <n v="449520.17"/>
    <n v="779066.27"/>
    <x v="0"/>
    <n v="0.85555555555555551"/>
  </r>
  <r>
    <s v="SK1047"/>
    <x v="34"/>
    <s v="SIN"/>
    <s v="BKK"/>
    <d v="2026-01-23T00:00:00"/>
    <n v="517"/>
    <x v="0"/>
    <x v="1"/>
    <n v="134"/>
    <n v="1126474.97"/>
    <n v="380242.79"/>
    <n v="746232.17999999993"/>
    <x v="1"/>
    <n v="0.89333333333333331"/>
  </r>
  <r>
    <s v="SK1048"/>
    <x v="38"/>
    <s v="SIN"/>
    <s v="CCU"/>
    <d v="2026-02-08T00:00:00"/>
    <n v="213"/>
    <x v="3"/>
    <x v="2"/>
    <n v="167"/>
    <n v="2167068.4700000002"/>
    <n v="242389.59"/>
    <n v="1924678.8800000001"/>
    <x v="3"/>
    <n v="0.92777777777777781"/>
  </r>
  <r>
    <s v="SK1049"/>
    <x v="39"/>
    <s v="LHR"/>
    <s v="DEL"/>
    <d v="2026-09-12T00:00:00"/>
    <n v="362"/>
    <x v="0"/>
    <x v="3"/>
    <n v="134"/>
    <n v="1430093.06"/>
    <n v="509998.32"/>
    <n v="920094.74"/>
    <x v="8"/>
    <n v="0.53600000000000003"/>
  </r>
  <r>
    <s v="SK1050"/>
    <x v="9"/>
    <s v="BOM"/>
    <s v="BLR"/>
    <d v="2026-09-06T00:00:00"/>
    <n v="225"/>
    <x v="2"/>
    <x v="0"/>
    <n v="128"/>
    <n v="993089.71"/>
    <n v="360478.66"/>
    <n v="632611.05000000005"/>
    <x v="8"/>
    <n v="0.42666666666666669"/>
  </r>
  <r>
    <s v="SK1051"/>
    <x v="13"/>
    <s v="BKK"/>
    <s v="LHR"/>
    <d v="2026-09-30T00:00:00"/>
    <n v="567"/>
    <x v="1"/>
    <x v="0"/>
    <n v="118"/>
    <n v="1741726.13"/>
    <n v="629020.12"/>
    <n v="1112706.0099999998"/>
    <x v="8"/>
    <n v="0.39333333333333331"/>
  </r>
  <r>
    <s v="SK1052"/>
    <x v="31"/>
    <s v="DEL"/>
    <s v="DXB"/>
    <d v="2026-07-14T00:00:00"/>
    <n v="152"/>
    <x v="1"/>
    <x v="2"/>
    <n v="110"/>
    <n v="583821.5"/>
    <n v="170348.42"/>
    <n v="413473.07999999996"/>
    <x v="5"/>
    <n v="0.61111111111111116"/>
  </r>
  <r>
    <s v="SK1053"/>
    <x v="27"/>
    <s v="SIN"/>
    <s v="BLR"/>
    <d v="2026-08-21T00:00:00"/>
    <n v="583"/>
    <x v="3"/>
    <x v="2"/>
    <n v="83"/>
    <n v="377233.4"/>
    <n v="516213.61"/>
    <n v="-138980.20999999996"/>
    <x v="0"/>
    <n v="0.46111111111111114"/>
  </r>
  <r>
    <s v="SK1054"/>
    <x v="40"/>
    <s v="DEL"/>
    <s v="MAA"/>
    <d v="2026-01-26T00:00:00"/>
    <n v="316"/>
    <x v="1"/>
    <x v="1"/>
    <n v="148"/>
    <n v="771709.33"/>
    <n v="279308.07"/>
    <n v="492401.25999999995"/>
    <x v="1"/>
    <n v="0.98666666666666669"/>
  </r>
  <r>
    <s v="SK1055"/>
    <x v="41"/>
    <s v="BKK"/>
    <s v="BLR"/>
    <d v="2026-07-06T00:00:00"/>
    <n v="371"/>
    <x v="0"/>
    <x v="3"/>
    <n v="52"/>
    <n v="714609.07"/>
    <n v="443382.63"/>
    <n v="271226.43999999994"/>
    <x v="5"/>
    <n v="0.20799999999999999"/>
  </r>
  <r>
    <s v="SK1056"/>
    <x v="17"/>
    <s v="LHR"/>
    <s v="JFK"/>
    <d v="2026-09-30T00:00:00"/>
    <n v="290"/>
    <x v="3"/>
    <x v="2"/>
    <n v="175"/>
    <n v="776500.48"/>
    <n v="415777.04"/>
    <n v="360723.44"/>
    <x v="8"/>
    <n v="0.97222222222222221"/>
  </r>
  <r>
    <s v="SK1057"/>
    <x v="10"/>
    <s v="DXB"/>
    <s v="SIN"/>
    <d v="2026-08-16T00:00:00"/>
    <n v="170"/>
    <x v="3"/>
    <x v="2"/>
    <n v="160"/>
    <n v="1911243.79"/>
    <n v="226367.49"/>
    <n v="1684876.3"/>
    <x v="0"/>
    <n v="0.88888888888888884"/>
  </r>
  <r>
    <s v="SK1058"/>
    <x v="42"/>
    <s v="BKK"/>
    <s v="BOM"/>
    <d v="2026-08-17T00:00:00"/>
    <n v="436"/>
    <x v="2"/>
    <x v="1"/>
    <n v="71"/>
    <n v="404983.54"/>
    <n v="404506.9"/>
    <n v="476.63999999995576"/>
    <x v="0"/>
    <n v="0.47333333333333333"/>
  </r>
  <r>
    <s v="SK1059"/>
    <x v="26"/>
    <s v="BKK"/>
    <s v="DEL"/>
    <d v="2026-08-11T00:00:00"/>
    <n v="65"/>
    <x v="3"/>
    <x v="0"/>
    <n v="269"/>
    <n v="3768353.04"/>
    <n v="182741.15"/>
    <n v="3585611.89"/>
    <x v="0"/>
    <n v="0.89666666666666661"/>
  </r>
  <r>
    <s v="SK1060"/>
    <x v="43"/>
    <s v="MAA"/>
    <s v="CCU"/>
    <d v="2026-01-26T00:00:00"/>
    <n v="494"/>
    <x v="2"/>
    <x v="0"/>
    <n v="182"/>
    <n v="954503.55"/>
    <n v="508928.28"/>
    <n v="445575.27"/>
    <x v="1"/>
    <n v="0.60666666666666669"/>
  </r>
  <r>
    <s v="SK1061"/>
    <x v="16"/>
    <s v="CCU"/>
    <s v="DEL"/>
    <d v="2026-05-22T00:00:00"/>
    <n v="379"/>
    <x v="3"/>
    <x v="1"/>
    <n v="60"/>
    <n v="851050.33"/>
    <n v="349566.37"/>
    <n v="501483.95999999996"/>
    <x v="6"/>
    <n v="0.4"/>
  </r>
  <r>
    <s v="SK1062"/>
    <x v="44"/>
    <s v="JFK"/>
    <s v="MAA"/>
    <d v="2026-01-13T00:00:00"/>
    <n v="227"/>
    <x v="3"/>
    <x v="0"/>
    <n v="114"/>
    <n v="531912.29"/>
    <n v="263930.76"/>
    <n v="267981.53000000003"/>
    <x v="1"/>
    <n v="0.38"/>
  </r>
  <r>
    <s v="SK1063"/>
    <x v="45"/>
    <s v="MAA"/>
    <s v="BKK"/>
    <d v="2026-08-24T00:00:00"/>
    <n v="393"/>
    <x v="2"/>
    <x v="0"/>
    <n v="252"/>
    <n v="3593541.54"/>
    <n v="396357.22"/>
    <n v="3197184.3200000003"/>
    <x v="0"/>
    <n v="0.84"/>
  </r>
  <r>
    <s v="SK1064"/>
    <x v="2"/>
    <s v="DEL"/>
    <s v="JFK"/>
    <d v="2026-08-17T00:00:00"/>
    <n v="329"/>
    <x v="1"/>
    <x v="2"/>
    <n v="84"/>
    <n v="417579.92"/>
    <n v="442096.56"/>
    <n v="-24516.640000000014"/>
    <x v="0"/>
    <n v="0.46666666666666667"/>
  </r>
  <r>
    <s v="SK1065"/>
    <x v="17"/>
    <s v="LHR"/>
    <s v="JFK"/>
    <d v="2026-01-14T00:00:00"/>
    <n v="481"/>
    <x v="2"/>
    <x v="3"/>
    <n v="112"/>
    <n v="1011656.2"/>
    <n v="443686.01"/>
    <n v="567970.18999999994"/>
    <x v="1"/>
    <n v="0.44800000000000001"/>
  </r>
  <r>
    <s v="SK1066"/>
    <x v="46"/>
    <s v="BKK"/>
    <s v="SIN"/>
    <d v="2026-05-14T00:00:00"/>
    <n v="450"/>
    <x v="0"/>
    <x v="0"/>
    <n v="91"/>
    <n v="425085.1"/>
    <n v="625117.93000000005"/>
    <n v="-200032.83000000007"/>
    <x v="6"/>
    <n v="0.30333333333333334"/>
  </r>
  <r>
    <s v="SK1067"/>
    <x v="38"/>
    <s v="SIN"/>
    <s v="CCU"/>
    <d v="2026-04-07T00:00:00"/>
    <n v="470"/>
    <x v="0"/>
    <x v="1"/>
    <n v="117"/>
    <n v="1151125.1200000001"/>
    <n v="560848.91"/>
    <n v="590276.21000000008"/>
    <x v="7"/>
    <n v="0.78"/>
  </r>
  <r>
    <s v="SK1068"/>
    <x v="30"/>
    <s v="DEL"/>
    <s v="LHR"/>
    <d v="2026-05-16T00:00:00"/>
    <n v="320"/>
    <x v="2"/>
    <x v="3"/>
    <n v="117"/>
    <n v="1365042.61"/>
    <n v="446288.18"/>
    <n v="918754.43000000017"/>
    <x v="6"/>
    <n v="0.46800000000000003"/>
  </r>
  <r>
    <s v="SK1069"/>
    <x v="47"/>
    <s v="LHR"/>
    <s v="DXB"/>
    <d v="2026-01-11T00:00:00"/>
    <n v="313"/>
    <x v="3"/>
    <x v="0"/>
    <n v="87"/>
    <n v="498354.43"/>
    <n v="399310.07"/>
    <n v="99044.359999999986"/>
    <x v="1"/>
    <n v="0.28999999999999998"/>
  </r>
  <r>
    <s v="SK1070"/>
    <x v="48"/>
    <s v="CCU"/>
    <s v="LHR"/>
    <d v="2026-05-13T00:00:00"/>
    <n v="186"/>
    <x v="3"/>
    <x v="1"/>
    <n v="141"/>
    <n v="1056544.6499999999"/>
    <n v="176973.58"/>
    <n v="879571.07"/>
    <x v="6"/>
    <n v="0.94"/>
  </r>
  <r>
    <s v="SK1071"/>
    <x v="12"/>
    <s v="MAA"/>
    <s v="LHR"/>
    <d v="2026-04-20T00:00:00"/>
    <n v="479"/>
    <x v="3"/>
    <x v="3"/>
    <n v="106"/>
    <n v="740490.23999999999"/>
    <n v="468927.26"/>
    <n v="271562.98"/>
    <x v="7"/>
    <n v="0.42399999999999999"/>
  </r>
  <r>
    <s v="SK1072"/>
    <x v="45"/>
    <s v="MAA"/>
    <s v="BKK"/>
    <d v="2026-04-27T00:00:00"/>
    <n v="303"/>
    <x v="2"/>
    <x v="2"/>
    <n v="124"/>
    <n v="1745364.82"/>
    <n v="340275"/>
    <n v="1405089.82"/>
    <x v="7"/>
    <n v="0.68888888888888888"/>
  </r>
  <r>
    <s v="SK1073"/>
    <x v="49"/>
    <s v="JFK"/>
    <s v="BKK"/>
    <d v="2026-06-01T00:00:00"/>
    <n v="84"/>
    <x v="0"/>
    <x v="0"/>
    <n v="247"/>
    <n v="841417.83"/>
    <n v="210314.62"/>
    <n v="631103.21"/>
    <x v="2"/>
    <n v="0.82333333333333336"/>
  </r>
  <r>
    <s v="SK1074"/>
    <x v="50"/>
    <s v="BLR"/>
    <s v="JFK"/>
    <d v="2026-04-28T00:00:00"/>
    <n v="401"/>
    <x v="1"/>
    <x v="3"/>
    <n v="238"/>
    <n v="1240825.96"/>
    <n v="409596.57"/>
    <n v="831229.3899999999"/>
    <x v="7"/>
    <n v="0.95199999999999996"/>
  </r>
  <r>
    <s v="SK1075"/>
    <x v="51"/>
    <s v="DEL"/>
    <s v="BKK"/>
    <d v="2026-10-13T00:00:00"/>
    <n v="203"/>
    <x v="1"/>
    <x v="3"/>
    <n v="67"/>
    <n v="437411.92"/>
    <n v="327967.81"/>
    <n v="109444.10999999999"/>
    <x v="9"/>
    <n v="0.26800000000000002"/>
  </r>
  <r>
    <s v="SK1076"/>
    <x v="52"/>
    <s v="BLR"/>
    <s v="SIN"/>
    <d v="2026-05-12T00:00:00"/>
    <n v="323"/>
    <x v="2"/>
    <x v="3"/>
    <n v="152"/>
    <n v="1829921.11"/>
    <n v="348067.45"/>
    <n v="1481853.6600000001"/>
    <x v="6"/>
    <n v="0.60799999999999998"/>
  </r>
  <r>
    <s v="SK1077"/>
    <x v="7"/>
    <s v="DXB"/>
    <s v="CCU"/>
    <d v="2026-09-04T00:00:00"/>
    <n v="502"/>
    <x v="0"/>
    <x v="1"/>
    <n v="121"/>
    <n v="514165.66"/>
    <n v="607090.51"/>
    <n v="-92924.850000000035"/>
    <x v="8"/>
    <n v="0.80666666666666664"/>
  </r>
  <r>
    <s v="SK1078"/>
    <x v="38"/>
    <s v="SIN"/>
    <s v="CCU"/>
    <d v="2026-04-30T00:00:00"/>
    <n v="550"/>
    <x v="1"/>
    <x v="0"/>
    <n v="293"/>
    <n v="3227987.34"/>
    <n v="503918.95"/>
    <n v="2724068.3899999997"/>
    <x v="7"/>
    <n v="0.97666666666666668"/>
  </r>
  <r>
    <s v="SK1079"/>
    <x v="53"/>
    <s v="SIN"/>
    <s v="MAA"/>
    <d v="2026-02-05T00:00:00"/>
    <n v="344"/>
    <x v="1"/>
    <x v="2"/>
    <n v="51"/>
    <n v="710301.89"/>
    <n v="412442.51"/>
    <n v="297859.38"/>
    <x v="3"/>
    <n v="0.28333333333333333"/>
  </r>
  <r>
    <s v="SK1080"/>
    <x v="54"/>
    <s v="SIN"/>
    <s v="JFK"/>
    <d v="2026-09-13T00:00:00"/>
    <n v="285"/>
    <x v="2"/>
    <x v="0"/>
    <n v="148"/>
    <n v="2128453.0699999998"/>
    <n v="444839.36"/>
    <n v="1683613.71"/>
    <x v="8"/>
    <n v="0.49333333333333335"/>
  </r>
  <r>
    <s v="SK1081"/>
    <x v="43"/>
    <s v="MAA"/>
    <s v="CCU"/>
    <d v="2026-01-14T00:00:00"/>
    <n v="580"/>
    <x v="1"/>
    <x v="2"/>
    <n v="74"/>
    <n v="451004.26"/>
    <n v="436578.57"/>
    <n v="14425.690000000002"/>
    <x v="1"/>
    <n v="0.41111111111111109"/>
  </r>
  <r>
    <s v="SK1082"/>
    <x v="10"/>
    <s v="DXB"/>
    <s v="SIN"/>
    <d v="2026-02-10T00:00:00"/>
    <n v="93"/>
    <x v="2"/>
    <x v="1"/>
    <n v="74"/>
    <n v="663748.82999999996"/>
    <n v="168385.19"/>
    <n v="495363.63999999996"/>
    <x v="3"/>
    <n v="0.49333333333333335"/>
  </r>
  <r>
    <s v="SK1083"/>
    <x v="3"/>
    <s v="JFK"/>
    <s v="SIN"/>
    <d v="2026-08-25T00:00:00"/>
    <n v="514"/>
    <x v="3"/>
    <x v="1"/>
    <n v="66"/>
    <n v="529666.26"/>
    <n v="469853.24"/>
    <n v="59813.020000000019"/>
    <x v="0"/>
    <n v="0.44"/>
  </r>
  <r>
    <s v="SK1084"/>
    <x v="54"/>
    <s v="SIN"/>
    <s v="JFK"/>
    <d v="2026-10-09T00:00:00"/>
    <n v="88"/>
    <x v="2"/>
    <x v="3"/>
    <n v="89"/>
    <n v="733922.55"/>
    <n v="225395.64"/>
    <n v="508526.91000000003"/>
    <x v="9"/>
    <n v="0.35599999999999998"/>
  </r>
  <r>
    <s v="SK1085"/>
    <x v="49"/>
    <s v="JFK"/>
    <s v="BKK"/>
    <d v="2026-02-05T00:00:00"/>
    <n v="207"/>
    <x v="0"/>
    <x v="3"/>
    <n v="130"/>
    <n v="1164331.3500000001"/>
    <n v="314982.53000000003"/>
    <n v="849348.82000000007"/>
    <x v="3"/>
    <n v="0.52"/>
  </r>
  <r>
    <s v="SK1086"/>
    <x v="55"/>
    <s v="LHR"/>
    <s v="BLR"/>
    <d v="2026-08-05T00:00:00"/>
    <n v="120"/>
    <x v="0"/>
    <x v="0"/>
    <n v="91"/>
    <n v="774972.21"/>
    <n v="216378.41"/>
    <n v="558593.79999999993"/>
    <x v="0"/>
    <n v="0.30333333333333334"/>
  </r>
  <r>
    <s v="SK1087"/>
    <x v="56"/>
    <s v="JFK"/>
    <s v="BOM"/>
    <d v="2026-02-13T00:00:00"/>
    <n v="76"/>
    <x v="3"/>
    <x v="1"/>
    <n v="104"/>
    <n v="962583.23"/>
    <n v="117612.72"/>
    <n v="844970.51"/>
    <x v="3"/>
    <n v="0.69333333333333336"/>
  </r>
  <r>
    <s v="SK1088"/>
    <x v="57"/>
    <s v="MAA"/>
    <s v="DEL"/>
    <d v="2026-07-17T00:00:00"/>
    <n v="259"/>
    <x v="2"/>
    <x v="2"/>
    <n v="138"/>
    <n v="1484877.11"/>
    <n v="345172.67"/>
    <n v="1139704.4400000002"/>
    <x v="5"/>
    <n v="0.76666666666666672"/>
  </r>
  <r>
    <s v="SK1089"/>
    <x v="52"/>
    <s v="BLR"/>
    <s v="SIN"/>
    <d v="2026-09-27T00:00:00"/>
    <n v="394"/>
    <x v="2"/>
    <x v="3"/>
    <n v="186"/>
    <n v="987881.03"/>
    <n v="353794.78"/>
    <n v="634086.25"/>
    <x v="8"/>
    <n v="0.74399999999999999"/>
  </r>
  <r>
    <s v="SK1090"/>
    <x v="14"/>
    <s v="BOM"/>
    <s v="SIN"/>
    <d v="2026-04-13T00:00:00"/>
    <n v="332"/>
    <x v="3"/>
    <x v="3"/>
    <n v="201"/>
    <n v="1157781.32"/>
    <n v="319019.74"/>
    <n v="838761.58000000007"/>
    <x v="7"/>
    <n v="0.80400000000000005"/>
  </r>
  <r>
    <s v="SK1091"/>
    <x v="58"/>
    <s v="BOM"/>
    <s v="DXB"/>
    <d v="2026-01-04T00:00:00"/>
    <n v="408"/>
    <x v="3"/>
    <x v="1"/>
    <n v="62"/>
    <n v="651663.18000000005"/>
    <n v="532035.24"/>
    <n v="119627.94000000006"/>
    <x v="1"/>
    <n v="0.41333333333333333"/>
  </r>
  <r>
    <s v="SK1092"/>
    <x v="59"/>
    <s v="MAA"/>
    <s v="BOM"/>
    <d v="2026-09-26T00:00:00"/>
    <n v="200"/>
    <x v="3"/>
    <x v="0"/>
    <n v="145"/>
    <n v="1824882.83"/>
    <n v="389710.78"/>
    <n v="1435172.05"/>
    <x v="8"/>
    <n v="0.48333333333333334"/>
  </r>
  <r>
    <s v="SK1093"/>
    <x v="30"/>
    <s v="DEL"/>
    <s v="LHR"/>
    <d v="2026-09-23T00:00:00"/>
    <n v="418"/>
    <x v="1"/>
    <x v="1"/>
    <n v="114"/>
    <n v="668647.14"/>
    <n v="316324.73"/>
    <n v="352322.41000000003"/>
    <x v="8"/>
    <n v="0.76"/>
  </r>
  <r>
    <s v="SK1094"/>
    <x v="55"/>
    <s v="LHR"/>
    <s v="BLR"/>
    <d v="2026-03-14T00:00:00"/>
    <n v="458"/>
    <x v="2"/>
    <x v="1"/>
    <n v="137"/>
    <n v="615575.34"/>
    <n v="610626.87"/>
    <n v="4948.4699999999721"/>
    <x v="4"/>
    <n v="0.91333333333333333"/>
  </r>
  <r>
    <s v="SK1095"/>
    <x v="36"/>
    <s v="JFK"/>
    <s v="LHR"/>
    <d v="2026-06-02T00:00:00"/>
    <n v="369"/>
    <x v="2"/>
    <x v="3"/>
    <n v="159"/>
    <n v="917118"/>
    <n v="355097.19"/>
    <n v="562020.81000000006"/>
    <x v="2"/>
    <n v="0.63600000000000001"/>
  </r>
  <r>
    <s v="SK1096"/>
    <x v="8"/>
    <s v="DXB"/>
    <s v="MAA"/>
    <d v="2026-08-03T00:00:00"/>
    <n v="580"/>
    <x v="0"/>
    <x v="0"/>
    <n v="171"/>
    <n v="1590364.64"/>
    <n v="545654.75"/>
    <n v="1044709.8899999999"/>
    <x v="0"/>
    <n v="0.56999999999999995"/>
  </r>
  <r>
    <s v="SK1097"/>
    <x v="60"/>
    <s v="LHR"/>
    <s v="SIN"/>
    <d v="2026-09-26T00:00:00"/>
    <n v="179"/>
    <x v="2"/>
    <x v="3"/>
    <n v="138"/>
    <n v="1395908.53"/>
    <n v="287184.8"/>
    <n v="1108723.73"/>
    <x v="8"/>
    <n v="0.55200000000000005"/>
  </r>
  <r>
    <s v="SK1098"/>
    <x v="61"/>
    <s v="BKK"/>
    <s v="DXB"/>
    <d v="2026-08-14T00:00:00"/>
    <n v="391"/>
    <x v="3"/>
    <x v="1"/>
    <n v="128"/>
    <n v="1390451.68"/>
    <n v="421269.66"/>
    <n v="969182.02"/>
    <x v="0"/>
    <n v="0.85333333333333339"/>
  </r>
  <r>
    <s v="SK1099"/>
    <x v="62"/>
    <s v="JFK"/>
    <s v="CCU"/>
    <d v="2026-02-06T00:00:00"/>
    <n v="375"/>
    <x v="1"/>
    <x v="1"/>
    <n v="77"/>
    <n v="301344.90999999997"/>
    <n v="485941.81"/>
    <n v="-184596.90000000002"/>
    <x v="3"/>
    <n v="0.51333333333333331"/>
  </r>
  <r>
    <s v="SK1100"/>
    <x v="7"/>
    <s v="DXB"/>
    <s v="CCU"/>
    <d v="2026-09-19T00:00:00"/>
    <n v="275"/>
    <x v="0"/>
    <x v="0"/>
    <n v="217"/>
    <n v="1289723.53"/>
    <n v="317788.08"/>
    <n v="971935.45"/>
    <x v="8"/>
    <n v="0.72333333333333338"/>
  </r>
  <r>
    <s v="SK1101"/>
    <x v="63"/>
    <s v="DXB"/>
    <s v="BOM"/>
    <d v="2026-08-23T00:00:00"/>
    <n v="90"/>
    <x v="0"/>
    <x v="2"/>
    <n v="156"/>
    <n v="895986.3"/>
    <n v="192248.18"/>
    <n v="703738.12000000011"/>
    <x v="0"/>
    <n v="0.8666666666666667"/>
  </r>
  <r>
    <s v="SK1102"/>
    <x v="14"/>
    <s v="BOM"/>
    <s v="SIN"/>
    <d v="2026-08-12T00:00:00"/>
    <n v="584"/>
    <x v="3"/>
    <x v="3"/>
    <n v="162"/>
    <n v="1574337.34"/>
    <n v="464356.97"/>
    <n v="1109980.3700000001"/>
    <x v="0"/>
    <n v="0.64800000000000002"/>
  </r>
  <r>
    <s v="SK1103"/>
    <x v="64"/>
    <s v="BOM"/>
    <s v="MAA"/>
    <d v="2026-08-21T00:00:00"/>
    <n v="283"/>
    <x v="3"/>
    <x v="3"/>
    <n v="205"/>
    <n v="2171249.86"/>
    <n v="451134.77"/>
    <n v="1720115.0899999999"/>
    <x v="0"/>
    <n v="0.82"/>
  </r>
  <r>
    <s v="SK1104"/>
    <x v="65"/>
    <s v="CCU"/>
    <s v="BKK"/>
    <d v="2026-07-12T00:00:00"/>
    <n v="81"/>
    <x v="3"/>
    <x v="0"/>
    <n v="300"/>
    <n v="3968692.77"/>
    <n v="246641.41"/>
    <n v="3722051.36"/>
    <x v="5"/>
    <n v="1"/>
  </r>
  <r>
    <s v="SK1105"/>
    <x v="6"/>
    <s v="DXB"/>
    <s v="DEL"/>
    <d v="2026-03-20T00:00:00"/>
    <n v="518"/>
    <x v="3"/>
    <x v="3"/>
    <n v="75"/>
    <n v="368044.45"/>
    <n v="553892.39"/>
    <n v="-185847.94"/>
    <x v="4"/>
    <n v="0.3"/>
  </r>
  <r>
    <s v="SK1106"/>
    <x v="26"/>
    <s v="BKK"/>
    <s v="DEL"/>
    <d v="2026-10-15T00:00:00"/>
    <n v="189"/>
    <x v="0"/>
    <x v="2"/>
    <n v="133"/>
    <n v="1443599.9"/>
    <n v="220652.24"/>
    <n v="1222947.6599999999"/>
    <x v="9"/>
    <n v="0.73888888888888893"/>
  </r>
  <r>
    <s v="SK1107"/>
    <x v="49"/>
    <s v="JFK"/>
    <s v="BKK"/>
    <d v="2026-09-14T00:00:00"/>
    <n v="586"/>
    <x v="3"/>
    <x v="1"/>
    <n v="84"/>
    <n v="283383.15999999997"/>
    <n v="635313.73"/>
    <n v="-351930.57"/>
    <x v="8"/>
    <n v="0.56000000000000005"/>
  </r>
  <r>
    <s v="SK1108"/>
    <x v="19"/>
    <s v="BLR"/>
    <s v="BKK"/>
    <d v="2026-03-20T00:00:00"/>
    <n v="86"/>
    <x v="3"/>
    <x v="2"/>
    <n v="180"/>
    <n v="2261083.31"/>
    <n v="150708.91"/>
    <n v="2110374.4"/>
    <x v="4"/>
    <n v="1"/>
  </r>
  <r>
    <s v="SK1109"/>
    <x v="49"/>
    <s v="JFK"/>
    <s v="BKK"/>
    <d v="2026-08-02T00:00:00"/>
    <n v="560"/>
    <x v="2"/>
    <x v="2"/>
    <n v="137"/>
    <n v="1123257.6599999999"/>
    <n v="755865.75"/>
    <n v="367391.90999999992"/>
    <x v="0"/>
    <n v="0.76111111111111107"/>
  </r>
  <r>
    <s v="SK1110"/>
    <x v="45"/>
    <s v="MAA"/>
    <s v="BKK"/>
    <d v="2026-06-15T00:00:00"/>
    <n v="70"/>
    <x v="2"/>
    <x v="1"/>
    <n v="82"/>
    <n v="1183406.26"/>
    <n v="154483.10999999999"/>
    <n v="1028923.15"/>
    <x v="2"/>
    <n v="0.54666666666666663"/>
  </r>
  <r>
    <s v="SK1111"/>
    <x v="66"/>
    <s v="CCU"/>
    <s v="JFK"/>
    <d v="2026-03-21T00:00:00"/>
    <n v="369"/>
    <x v="3"/>
    <x v="0"/>
    <n v="197"/>
    <n v="1408983.17"/>
    <n v="534890.36"/>
    <n v="874092.80999999994"/>
    <x v="4"/>
    <n v="0.65666666666666662"/>
  </r>
  <r>
    <s v="SK1112"/>
    <x v="67"/>
    <s v="BLR"/>
    <s v="MAA"/>
    <d v="2026-03-18T00:00:00"/>
    <n v="175"/>
    <x v="3"/>
    <x v="2"/>
    <n v="152"/>
    <n v="698073.54"/>
    <n v="247023.75"/>
    <n v="451049.79000000004"/>
    <x v="4"/>
    <n v="0.84444444444444444"/>
  </r>
  <r>
    <s v="SK1113"/>
    <x v="7"/>
    <s v="DXB"/>
    <s v="CCU"/>
    <d v="2026-05-03T00:00:00"/>
    <n v="68"/>
    <x v="3"/>
    <x v="1"/>
    <n v="144"/>
    <n v="1367360.07"/>
    <n v="142751.28"/>
    <n v="1224608.79"/>
    <x v="6"/>
    <n v="0.96"/>
  </r>
  <r>
    <s v="SK1114"/>
    <x v="22"/>
    <s v="CCU"/>
    <s v="BOM"/>
    <d v="2026-01-07T00:00:00"/>
    <n v="518"/>
    <x v="1"/>
    <x v="0"/>
    <n v="181"/>
    <n v="1840717.57"/>
    <n v="693217.68"/>
    <n v="1147499.8900000001"/>
    <x v="1"/>
    <n v="0.60333333333333339"/>
  </r>
  <r>
    <s v="SK1115"/>
    <x v="32"/>
    <s v="BOM"/>
    <s v="CCU"/>
    <d v="2026-03-28T00:00:00"/>
    <n v="583"/>
    <x v="2"/>
    <x v="1"/>
    <n v="94"/>
    <n v="976557"/>
    <n v="500772.02"/>
    <n v="475784.98"/>
    <x v="4"/>
    <n v="0.62666666666666671"/>
  </r>
  <r>
    <s v="SK1116"/>
    <x v="58"/>
    <s v="BOM"/>
    <s v="DXB"/>
    <d v="2026-07-30T00:00:00"/>
    <n v="411"/>
    <x v="1"/>
    <x v="1"/>
    <n v="108"/>
    <n v="1166822.0900000001"/>
    <n v="337908.36"/>
    <n v="828913.7300000001"/>
    <x v="5"/>
    <n v="0.72"/>
  </r>
  <r>
    <s v="SK1117"/>
    <x v="68"/>
    <s v="BKK"/>
    <s v="CCU"/>
    <d v="2026-06-08T00:00:00"/>
    <n v="83"/>
    <x v="1"/>
    <x v="1"/>
    <n v="53"/>
    <n v="626682.79"/>
    <n v="161104.76"/>
    <n v="465578.03"/>
    <x v="2"/>
    <n v="0.35333333333333333"/>
  </r>
  <r>
    <s v="SK1118"/>
    <x v="28"/>
    <s v="LHR"/>
    <s v="CCU"/>
    <d v="2026-08-16T00:00:00"/>
    <n v="394"/>
    <x v="3"/>
    <x v="0"/>
    <n v="55"/>
    <n v="597306.16"/>
    <n v="620630.37"/>
    <n v="-23324.209999999963"/>
    <x v="0"/>
    <n v="0.18333333333333332"/>
  </r>
  <r>
    <s v="SK1119"/>
    <x v="17"/>
    <s v="LHR"/>
    <s v="JFK"/>
    <d v="2026-08-13T00:00:00"/>
    <n v="579"/>
    <x v="1"/>
    <x v="0"/>
    <n v="271"/>
    <n v="1397329.47"/>
    <n v="535776.31000000006"/>
    <n v="861553.15999999992"/>
    <x v="0"/>
    <n v="0.90333333333333332"/>
  </r>
  <r>
    <s v="SK1120"/>
    <x v="69"/>
    <s v="MAA"/>
    <s v="BLR"/>
    <d v="2026-04-21T00:00:00"/>
    <n v="73"/>
    <x v="1"/>
    <x v="3"/>
    <n v="133"/>
    <n v="1345349.56"/>
    <n v="169856.07"/>
    <n v="1175493.49"/>
    <x v="7"/>
    <n v="0.53200000000000003"/>
  </r>
  <r>
    <s v="SK1121"/>
    <x v="60"/>
    <s v="LHR"/>
    <s v="SIN"/>
    <d v="2026-06-13T00:00:00"/>
    <n v="360"/>
    <x v="0"/>
    <x v="3"/>
    <n v="80"/>
    <n v="466608.44"/>
    <n v="323521.18"/>
    <n v="143087.26"/>
    <x v="2"/>
    <n v="0.32"/>
  </r>
  <r>
    <s v="SK1122"/>
    <x v="30"/>
    <s v="DEL"/>
    <s v="LHR"/>
    <d v="2026-03-05T00:00:00"/>
    <n v="343"/>
    <x v="2"/>
    <x v="3"/>
    <n v="214"/>
    <n v="1558087.91"/>
    <n v="424596.21"/>
    <n v="1133491.7"/>
    <x v="4"/>
    <n v="0.85599999999999998"/>
  </r>
  <r>
    <s v="SK1123"/>
    <x v="16"/>
    <s v="CCU"/>
    <s v="DEL"/>
    <d v="2026-05-10T00:00:00"/>
    <n v="570"/>
    <x v="2"/>
    <x v="0"/>
    <n v="75"/>
    <n v="260409.19"/>
    <n v="483721.86"/>
    <n v="-223312.66999999998"/>
    <x v="6"/>
    <n v="0.25"/>
  </r>
  <r>
    <s v="SK1124"/>
    <x v="57"/>
    <s v="MAA"/>
    <s v="DEL"/>
    <d v="2026-01-12T00:00:00"/>
    <n v="549"/>
    <x v="1"/>
    <x v="1"/>
    <n v="137"/>
    <n v="1538730.96"/>
    <n v="356179.05"/>
    <n v="1182551.9099999999"/>
    <x v="1"/>
    <n v="0.91333333333333333"/>
  </r>
  <r>
    <s v="SK1125"/>
    <x v="21"/>
    <s v="LHR"/>
    <s v="MAA"/>
    <d v="2026-05-31T00:00:00"/>
    <n v="443"/>
    <x v="3"/>
    <x v="1"/>
    <n v="101"/>
    <n v="1157073.08"/>
    <n v="359094.76"/>
    <n v="797978.32000000007"/>
    <x v="6"/>
    <n v="0.67333333333333334"/>
  </r>
  <r>
    <s v="SK1126"/>
    <x v="29"/>
    <s v="BLR"/>
    <s v="DXB"/>
    <d v="2026-03-27T00:00:00"/>
    <n v="234"/>
    <x v="3"/>
    <x v="1"/>
    <n v="104"/>
    <n v="1533331.85"/>
    <n v="253309.81"/>
    <n v="1280022.04"/>
    <x v="4"/>
    <n v="0.69333333333333336"/>
  </r>
  <r>
    <s v="SK1127"/>
    <x v="48"/>
    <s v="CCU"/>
    <s v="LHR"/>
    <d v="2026-10-16T00:00:00"/>
    <n v="60"/>
    <x v="0"/>
    <x v="3"/>
    <n v="191"/>
    <n v="1475737.22"/>
    <n v="182351.79"/>
    <n v="1293385.43"/>
    <x v="9"/>
    <n v="0.76400000000000001"/>
  </r>
  <r>
    <s v="SK1128"/>
    <x v="52"/>
    <s v="BLR"/>
    <s v="SIN"/>
    <d v="2026-09-26T00:00:00"/>
    <n v="218"/>
    <x v="2"/>
    <x v="3"/>
    <n v="117"/>
    <n v="1264318.3500000001"/>
    <n v="350768.13"/>
    <n v="913550.22000000009"/>
    <x v="8"/>
    <n v="0.46800000000000003"/>
  </r>
  <r>
    <s v="SK1129"/>
    <x v="70"/>
    <s v="CCU"/>
    <s v="SIN"/>
    <d v="2026-05-09T00:00:00"/>
    <n v="403"/>
    <x v="3"/>
    <x v="2"/>
    <n v="138"/>
    <n v="957799.31"/>
    <n v="469281.89"/>
    <n v="488517.42000000004"/>
    <x v="6"/>
    <n v="0.76666666666666672"/>
  </r>
  <r>
    <s v="SK1130"/>
    <x v="31"/>
    <s v="DEL"/>
    <s v="DXB"/>
    <d v="2026-08-12T00:00:00"/>
    <n v="556"/>
    <x v="0"/>
    <x v="0"/>
    <n v="151"/>
    <n v="585631.01"/>
    <n v="662862.18999999994"/>
    <n v="-77231.179999999935"/>
    <x v="0"/>
    <n v="0.5033333333333333"/>
  </r>
  <r>
    <s v="SK1131"/>
    <x v="60"/>
    <s v="LHR"/>
    <s v="SIN"/>
    <d v="2026-04-27T00:00:00"/>
    <n v="280"/>
    <x v="3"/>
    <x v="1"/>
    <n v="61"/>
    <n v="292062.03999999998"/>
    <n v="318218.26"/>
    <n v="-26156.22000000003"/>
    <x v="7"/>
    <n v="0.40666666666666668"/>
  </r>
  <r>
    <s v="SK1132"/>
    <x v="56"/>
    <s v="JFK"/>
    <s v="BOM"/>
    <d v="2026-01-21T00:00:00"/>
    <n v="466"/>
    <x v="0"/>
    <x v="3"/>
    <n v="129"/>
    <n v="1389290.86"/>
    <n v="650937.56999999995"/>
    <n v="738353.29000000015"/>
    <x v="1"/>
    <n v="0.51600000000000001"/>
  </r>
  <r>
    <s v="SK1133"/>
    <x v="47"/>
    <s v="LHR"/>
    <s v="DXB"/>
    <d v="2026-10-17T00:00:00"/>
    <n v="393"/>
    <x v="2"/>
    <x v="0"/>
    <n v="289"/>
    <n v="2681057.8199999998"/>
    <n v="530843.42000000004"/>
    <n v="2150214.4"/>
    <x v="9"/>
    <n v="0.96333333333333337"/>
  </r>
  <r>
    <s v="SK1134"/>
    <x v="71"/>
    <s v="DXB"/>
    <s v="BKK"/>
    <d v="2026-05-12T00:00:00"/>
    <n v="149"/>
    <x v="2"/>
    <x v="2"/>
    <n v="56"/>
    <n v="625711.19999999995"/>
    <n v="183424.02"/>
    <n v="442287.17999999993"/>
    <x v="6"/>
    <n v="0.31111111111111112"/>
  </r>
  <r>
    <s v="SK1135"/>
    <x v="50"/>
    <s v="BLR"/>
    <s v="JFK"/>
    <d v="2026-06-21T00:00:00"/>
    <n v="435"/>
    <x v="2"/>
    <x v="2"/>
    <n v="96"/>
    <n v="1384016.65"/>
    <n v="490690.8"/>
    <n v="893325.84999999986"/>
    <x v="2"/>
    <n v="0.53333333333333333"/>
  </r>
  <r>
    <s v="SK1136"/>
    <x v="17"/>
    <s v="LHR"/>
    <s v="JFK"/>
    <d v="2026-05-01T00:00:00"/>
    <n v="211"/>
    <x v="1"/>
    <x v="1"/>
    <n v="75"/>
    <n v="455080.5"/>
    <n v="225114.34"/>
    <n v="229966.16"/>
    <x v="6"/>
    <n v="0.5"/>
  </r>
  <r>
    <s v="SK1137"/>
    <x v="48"/>
    <s v="CCU"/>
    <s v="LHR"/>
    <d v="2026-08-30T00:00:00"/>
    <n v="542"/>
    <x v="1"/>
    <x v="2"/>
    <n v="168"/>
    <n v="1583281.93"/>
    <n v="428702.4"/>
    <n v="1154579.5299999998"/>
    <x v="0"/>
    <n v="0.93333333333333335"/>
  </r>
  <r>
    <s v="SK1138"/>
    <x v="10"/>
    <s v="DXB"/>
    <s v="SIN"/>
    <d v="2026-09-11T00:00:00"/>
    <n v="379"/>
    <x v="0"/>
    <x v="3"/>
    <n v="134"/>
    <n v="1488752.72"/>
    <n v="431952.81"/>
    <n v="1056799.9099999999"/>
    <x v="8"/>
    <n v="0.53600000000000003"/>
  </r>
  <r>
    <s v="SK1139"/>
    <x v="38"/>
    <s v="SIN"/>
    <s v="CCU"/>
    <d v="2026-02-11T00:00:00"/>
    <n v="347"/>
    <x v="0"/>
    <x v="1"/>
    <n v="85"/>
    <n v="342371.41"/>
    <n v="465698.96"/>
    <n v="-123327.55000000005"/>
    <x v="3"/>
    <n v="0.56666666666666665"/>
  </r>
  <r>
    <s v="SK1140"/>
    <x v="40"/>
    <s v="DEL"/>
    <s v="MAA"/>
    <d v="2026-05-10T00:00:00"/>
    <n v="576"/>
    <x v="1"/>
    <x v="3"/>
    <n v="209"/>
    <n v="1981349.88"/>
    <n v="767847.89"/>
    <n v="1213501.9899999998"/>
    <x v="6"/>
    <n v="0.83599999999999997"/>
  </r>
  <r>
    <s v="SK1141"/>
    <x v="4"/>
    <s v="BOM"/>
    <s v="LHR"/>
    <d v="2026-05-10T00:00:00"/>
    <n v="231"/>
    <x v="3"/>
    <x v="2"/>
    <n v="84"/>
    <n v="988495.71"/>
    <n v="280723.75"/>
    <n v="707771.96"/>
    <x v="6"/>
    <n v="0.46666666666666667"/>
  </r>
  <r>
    <s v="SK1142"/>
    <x v="55"/>
    <s v="LHR"/>
    <s v="BLR"/>
    <d v="2026-07-27T00:00:00"/>
    <n v="505"/>
    <x v="3"/>
    <x v="1"/>
    <n v="104"/>
    <n v="1255691.83"/>
    <n v="450366.53"/>
    <n v="805325.3"/>
    <x v="5"/>
    <n v="0.69333333333333336"/>
  </r>
  <r>
    <s v="SK1143"/>
    <x v="72"/>
    <s v="LHR"/>
    <s v="BOM"/>
    <d v="2026-09-05T00:00:00"/>
    <n v="423"/>
    <x v="2"/>
    <x v="1"/>
    <n v="79"/>
    <n v="730868.16"/>
    <n v="471143.72"/>
    <n v="259724.44000000006"/>
    <x v="8"/>
    <n v="0.52666666666666662"/>
  </r>
  <r>
    <s v="SK1144"/>
    <x v="50"/>
    <s v="BLR"/>
    <s v="JFK"/>
    <d v="2026-05-22T00:00:00"/>
    <n v="540"/>
    <x v="0"/>
    <x v="2"/>
    <n v="115"/>
    <n v="870655.15"/>
    <n v="490909.63"/>
    <n v="379745.52"/>
    <x v="6"/>
    <n v="0.63888888888888884"/>
  </r>
  <r>
    <s v="SK1145"/>
    <x v="38"/>
    <s v="SIN"/>
    <s v="CCU"/>
    <d v="2026-07-15T00:00:00"/>
    <n v="525"/>
    <x v="0"/>
    <x v="2"/>
    <n v="135"/>
    <n v="1322852.0900000001"/>
    <n v="496208.22"/>
    <n v="826643.87000000011"/>
    <x v="5"/>
    <n v="0.75"/>
  </r>
  <r>
    <s v="SK1146"/>
    <x v="73"/>
    <s v="BKK"/>
    <s v="JFK"/>
    <d v="2026-03-08T00:00:00"/>
    <n v="66"/>
    <x v="1"/>
    <x v="2"/>
    <n v="122"/>
    <n v="838180.96"/>
    <n v="124057.69"/>
    <n v="714123.27"/>
    <x v="4"/>
    <n v="0.67777777777777781"/>
  </r>
  <r>
    <s v="SK1147"/>
    <x v="56"/>
    <s v="JFK"/>
    <s v="BOM"/>
    <d v="2026-10-08T00:00:00"/>
    <n v="312"/>
    <x v="3"/>
    <x v="1"/>
    <n v="85"/>
    <n v="873498.36"/>
    <n v="261400.85"/>
    <n v="612097.51"/>
    <x v="9"/>
    <n v="0.56666666666666665"/>
  </r>
  <r>
    <s v="SK1148"/>
    <x v="39"/>
    <s v="LHR"/>
    <s v="DEL"/>
    <d v="2026-01-25T00:00:00"/>
    <n v="138"/>
    <x v="1"/>
    <x v="1"/>
    <n v="109"/>
    <n v="1342954.51"/>
    <n v="155788.59"/>
    <n v="1187165.92"/>
    <x v="1"/>
    <n v="0.72666666666666668"/>
  </r>
  <r>
    <s v="SK1149"/>
    <x v="4"/>
    <s v="BOM"/>
    <s v="LHR"/>
    <d v="2026-03-01T00:00:00"/>
    <n v="526"/>
    <x v="0"/>
    <x v="3"/>
    <n v="54"/>
    <n v="667933.51"/>
    <n v="557298.52"/>
    <n v="110634.98999999999"/>
    <x v="4"/>
    <n v="0.216"/>
  </r>
  <r>
    <s v="SK1150"/>
    <x v="44"/>
    <s v="JFK"/>
    <s v="MAA"/>
    <d v="2026-06-05T00:00:00"/>
    <n v="249"/>
    <x v="3"/>
    <x v="3"/>
    <n v="56"/>
    <n v="633132.42000000004"/>
    <n v="260357.46"/>
    <n v="372774.96000000008"/>
    <x v="2"/>
    <n v="0.224"/>
  </r>
  <r>
    <s v="SK1151"/>
    <x v="25"/>
    <s v="BLR"/>
    <s v="DEL"/>
    <d v="2026-05-04T00:00:00"/>
    <n v="481"/>
    <x v="0"/>
    <x v="2"/>
    <n v="112"/>
    <n v="1400573.84"/>
    <n v="466795.63"/>
    <n v="933778.21000000008"/>
    <x v="6"/>
    <n v="0.62222222222222223"/>
  </r>
  <r>
    <s v="SK1152"/>
    <x v="54"/>
    <s v="SIN"/>
    <s v="JFK"/>
    <d v="2026-07-02T00:00:00"/>
    <n v="445"/>
    <x v="3"/>
    <x v="3"/>
    <n v="198"/>
    <n v="639600.85"/>
    <n v="428431.81"/>
    <n v="211169.03999999998"/>
    <x v="5"/>
    <n v="0.79200000000000004"/>
  </r>
  <r>
    <s v="SK1153"/>
    <x v="52"/>
    <s v="BLR"/>
    <s v="SIN"/>
    <d v="2026-08-30T00:00:00"/>
    <n v="552"/>
    <x v="2"/>
    <x v="1"/>
    <n v="131"/>
    <n v="494577.42"/>
    <n v="367473.47"/>
    <n v="127103.95000000001"/>
    <x v="0"/>
    <n v="0.87333333333333329"/>
  </r>
  <r>
    <s v="SK1154"/>
    <x v="20"/>
    <s v="DEL"/>
    <s v="SIN"/>
    <d v="2026-10-09T00:00:00"/>
    <n v="569"/>
    <x v="1"/>
    <x v="2"/>
    <n v="101"/>
    <n v="598095.30000000005"/>
    <n v="634076.35"/>
    <n v="-35981.04999999993"/>
    <x v="9"/>
    <n v="0.56111111111111112"/>
  </r>
  <r>
    <s v="SK1155"/>
    <x v="13"/>
    <s v="BKK"/>
    <s v="LHR"/>
    <d v="2026-04-23T00:00:00"/>
    <n v="164"/>
    <x v="1"/>
    <x v="1"/>
    <n v="58"/>
    <n v="830210.47"/>
    <n v="249859.82"/>
    <n v="580350.64999999991"/>
    <x v="7"/>
    <n v="0.38666666666666666"/>
  </r>
  <r>
    <s v="SK1156"/>
    <x v="46"/>
    <s v="BKK"/>
    <s v="SIN"/>
    <d v="2026-09-21T00:00:00"/>
    <n v="259"/>
    <x v="2"/>
    <x v="3"/>
    <n v="194"/>
    <n v="737165.95"/>
    <n v="348487.37"/>
    <n v="388678.57999999996"/>
    <x v="8"/>
    <n v="0.77600000000000002"/>
  </r>
  <r>
    <s v="SK1157"/>
    <x v="26"/>
    <s v="BKK"/>
    <s v="DEL"/>
    <d v="2026-03-28T00:00:00"/>
    <n v="102"/>
    <x v="2"/>
    <x v="1"/>
    <n v="100"/>
    <n v="385508.07"/>
    <n v="126864.55"/>
    <n v="258643.52000000002"/>
    <x v="4"/>
    <n v="0.66666666666666663"/>
  </r>
  <r>
    <s v="SK1158"/>
    <x v="72"/>
    <s v="LHR"/>
    <s v="BOM"/>
    <d v="2026-01-28T00:00:00"/>
    <n v="550"/>
    <x v="3"/>
    <x v="1"/>
    <n v="54"/>
    <n v="589876.16"/>
    <n v="644283.47"/>
    <n v="-54407.309999999939"/>
    <x v="1"/>
    <n v="0.36"/>
  </r>
  <r>
    <s v="SK1159"/>
    <x v="52"/>
    <s v="BLR"/>
    <s v="SIN"/>
    <d v="2026-02-18T00:00:00"/>
    <n v="441"/>
    <x v="1"/>
    <x v="2"/>
    <n v="154"/>
    <n v="1651935.06"/>
    <n v="474204.27"/>
    <n v="1177730.79"/>
    <x v="3"/>
    <n v="0.85555555555555551"/>
  </r>
  <r>
    <s v="SK1160"/>
    <x v="47"/>
    <s v="LHR"/>
    <s v="DXB"/>
    <d v="2026-06-09T00:00:00"/>
    <n v="410"/>
    <x v="1"/>
    <x v="0"/>
    <n v="81"/>
    <n v="881097.21"/>
    <n v="391763.48"/>
    <n v="489333.73"/>
    <x v="2"/>
    <n v="0.27"/>
  </r>
  <r>
    <s v="SK1161"/>
    <x v="66"/>
    <s v="CCU"/>
    <s v="JFK"/>
    <d v="2026-05-04T00:00:00"/>
    <n v="473"/>
    <x v="1"/>
    <x v="1"/>
    <n v="93"/>
    <n v="499377.07"/>
    <n v="605160.82999999996"/>
    <n v="-105783.75999999995"/>
    <x v="6"/>
    <n v="0.62"/>
  </r>
  <r>
    <s v="SK1162"/>
    <x v="74"/>
    <s v="LHR"/>
    <s v="BKK"/>
    <d v="2026-01-18T00:00:00"/>
    <n v="208"/>
    <x v="2"/>
    <x v="2"/>
    <n v="175"/>
    <n v="2293196.96"/>
    <n v="300068.24"/>
    <n v="1993128.72"/>
    <x v="1"/>
    <n v="0.97222222222222221"/>
  </r>
  <r>
    <s v="SK1163"/>
    <x v="38"/>
    <s v="SIN"/>
    <s v="CCU"/>
    <d v="2026-10-12T00:00:00"/>
    <n v="525"/>
    <x v="3"/>
    <x v="1"/>
    <n v="134"/>
    <n v="1569375.7"/>
    <n v="638036.11"/>
    <n v="931339.59"/>
    <x v="9"/>
    <n v="0.89333333333333331"/>
  </r>
  <r>
    <s v="SK1164"/>
    <x v="31"/>
    <s v="DEL"/>
    <s v="DXB"/>
    <d v="2026-07-03T00:00:00"/>
    <n v="574"/>
    <x v="0"/>
    <x v="2"/>
    <n v="68"/>
    <n v="327680.61"/>
    <n v="414671.53"/>
    <n v="-86990.920000000042"/>
    <x v="5"/>
    <n v="0.37777777777777777"/>
  </r>
  <r>
    <s v="SK1165"/>
    <x v="35"/>
    <s v="DXB"/>
    <s v="BLR"/>
    <d v="2026-04-14T00:00:00"/>
    <n v="542"/>
    <x v="1"/>
    <x v="0"/>
    <n v="155"/>
    <n v="1688062.18"/>
    <n v="538966.43999999994"/>
    <n v="1149095.74"/>
    <x v="7"/>
    <n v="0.51666666666666672"/>
  </r>
  <r>
    <s v="SK1166"/>
    <x v="75"/>
    <s v="DXB"/>
    <s v="JFK"/>
    <d v="2026-03-27T00:00:00"/>
    <n v="293"/>
    <x v="3"/>
    <x v="2"/>
    <n v="103"/>
    <n v="1338193.06"/>
    <n v="238762.58"/>
    <n v="1099430.48"/>
    <x v="4"/>
    <n v="0.57222222222222219"/>
  </r>
  <r>
    <s v="SK1167"/>
    <x v="13"/>
    <s v="BKK"/>
    <s v="LHR"/>
    <d v="2026-03-11T00:00:00"/>
    <n v="270"/>
    <x v="2"/>
    <x v="2"/>
    <n v="160"/>
    <n v="1341332.4099999999"/>
    <n v="361471.41"/>
    <n v="979861"/>
    <x v="4"/>
    <n v="0.88888888888888884"/>
  </r>
  <r>
    <s v="SK1168"/>
    <x v="59"/>
    <s v="MAA"/>
    <s v="BOM"/>
    <d v="2026-07-21T00:00:00"/>
    <n v="97"/>
    <x v="3"/>
    <x v="0"/>
    <n v="237"/>
    <n v="2969697.21"/>
    <n v="204814.06"/>
    <n v="2764883.15"/>
    <x v="5"/>
    <n v="0.79"/>
  </r>
  <r>
    <s v="SK1169"/>
    <x v="0"/>
    <s v="JFK"/>
    <s v="DEL"/>
    <d v="2026-07-05T00:00:00"/>
    <n v="114"/>
    <x v="1"/>
    <x v="0"/>
    <n v="169"/>
    <n v="1730872.99"/>
    <n v="260982.14"/>
    <n v="1469890.85"/>
    <x v="5"/>
    <n v="0.56333333333333335"/>
  </r>
  <r>
    <s v="SK1170"/>
    <x v="71"/>
    <s v="DXB"/>
    <s v="BKK"/>
    <d v="2026-07-30T00:00:00"/>
    <n v="465"/>
    <x v="1"/>
    <x v="1"/>
    <n v="125"/>
    <n v="1552345.47"/>
    <n v="537850.14"/>
    <n v="1014495.33"/>
    <x v="5"/>
    <n v="0.83333333333333337"/>
  </r>
  <r>
    <s v="SK1171"/>
    <x v="6"/>
    <s v="DXB"/>
    <s v="DEL"/>
    <d v="2026-04-26T00:00:00"/>
    <n v="172"/>
    <x v="0"/>
    <x v="0"/>
    <n v="300"/>
    <n v="3659718.69"/>
    <n v="324327.34999999998"/>
    <n v="3335391.34"/>
    <x v="7"/>
    <n v="1"/>
  </r>
  <r>
    <s v="SK1172"/>
    <x v="20"/>
    <s v="DEL"/>
    <s v="SIN"/>
    <d v="2026-07-17T00:00:00"/>
    <n v="137"/>
    <x v="1"/>
    <x v="3"/>
    <n v="152"/>
    <n v="1499095.02"/>
    <n v="249867.08"/>
    <n v="1249227.94"/>
    <x v="5"/>
    <n v="0.60799999999999998"/>
  </r>
  <r>
    <s v="SK1173"/>
    <x v="71"/>
    <s v="DXB"/>
    <s v="BKK"/>
    <d v="2026-09-11T00:00:00"/>
    <n v="485"/>
    <x v="0"/>
    <x v="2"/>
    <n v="118"/>
    <n v="1546177.93"/>
    <n v="395681.43"/>
    <n v="1150496.5"/>
    <x v="8"/>
    <n v="0.65555555555555556"/>
  </r>
  <r>
    <s v="SK1174"/>
    <x v="19"/>
    <s v="BLR"/>
    <s v="BKK"/>
    <d v="2026-10-22T00:00:00"/>
    <n v="372"/>
    <x v="1"/>
    <x v="2"/>
    <n v="90"/>
    <n v="441620.82"/>
    <n v="434902.63"/>
    <n v="6718.1900000000023"/>
    <x v="9"/>
    <n v="0.5"/>
  </r>
  <r>
    <s v="SK1175"/>
    <x v="55"/>
    <s v="LHR"/>
    <s v="BLR"/>
    <d v="2026-08-08T00:00:00"/>
    <n v="222"/>
    <x v="0"/>
    <x v="0"/>
    <n v="63"/>
    <n v="377656.93"/>
    <n v="303260.99"/>
    <n v="74395.94"/>
    <x v="0"/>
    <n v="0.21"/>
  </r>
  <r>
    <s v="SK1176"/>
    <x v="39"/>
    <s v="LHR"/>
    <s v="DEL"/>
    <d v="2026-09-07T00:00:00"/>
    <n v="500"/>
    <x v="2"/>
    <x v="0"/>
    <n v="227"/>
    <n v="1800824.42"/>
    <n v="521570.16"/>
    <n v="1279254.26"/>
    <x v="8"/>
    <n v="0.75666666666666671"/>
  </r>
  <r>
    <s v="SK1177"/>
    <x v="56"/>
    <s v="JFK"/>
    <s v="BOM"/>
    <d v="2026-06-14T00:00:00"/>
    <n v="373"/>
    <x v="2"/>
    <x v="2"/>
    <n v="118"/>
    <n v="1280311.24"/>
    <n v="328223.28999999998"/>
    <n v="952087.95"/>
    <x v="2"/>
    <n v="0.65555555555555556"/>
  </r>
  <r>
    <s v="SK1178"/>
    <x v="30"/>
    <s v="DEL"/>
    <s v="LHR"/>
    <d v="2026-06-10T00:00:00"/>
    <n v="237"/>
    <x v="2"/>
    <x v="0"/>
    <n v="176"/>
    <n v="1058041.5900000001"/>
    <n v="409617.2"/>
    <n v="648424.39000000013"/>
    <x v="2"/>
    <n v="0.58666666666666667"/>
  </r>
  <r>
    <s v="SK1179"/>
    <x v="52"/>
    <s v="BLR"/>
    <s v="SIN"/>
    <d v="2026-06-18T00:00:00"/>
    <n v="482"/>
    <x v="3"/>
    <x v="1"/>
    <n v="66"/>
    <n v="683416.93"/>
    <n v="392302.02"/>
    <n v="291114.91000000003"/>
    <x v="2"/>
    <n v="0.44"/>
  </r>
  <r>
    <s v="SK1180"/>
    <x v="67"/>
    <s v="BLR"/>
    <s v="MAA"/>
    <d v="2026-04-08T00:00:00"/>
    <n v="203"/>
    <x v="1"/>
    <x v="3"/>
    <n v="174"/>
    <n v="2086504.39"/>
    <n v="267792.49"/>
    <n v="1818711.9"/>
    <x v="7"/>
    <n v="0.69599999999999995"/>
  </r>
  <r>
    <s v="SK1181"/>
    <x v="56"/>
    <s v="JFK"/>
    <s v="BOM"/>
    <d v="2026-02-18T00:00:00"/>
    <n v="91"/>
    <x v="0"/>
    <x v="1"/>
    <n v="69"/>
    <n v="658133.93999999994"/>
    <n v="168811.67"/>
    <n v="489322.2699999999"/>
    <x v="3"/>
    <n v="0.46"/>
  </r>
  <r>
    <s v="SK1182"/>
    <x v="76"/>
    <s v="BLR"/>
    <s v="BOM"/>
    <d v="2026-06-17T00:00:00"/>
    <n v="117"/>
    <x v="1"/>
    <x v="2"/>
    <n v="162"/>
    <n v="538813.47"/>
    <n v="153840.26"/>
    <n v="384973.20999999996"/>
    <x v="2"/>
    <n v="0.9"/>
  </r>
  <r>
    <s v="SK1183"/>
    <x v="48"/>
    <s v="CCU"/>
    <s v="LHR"/>
    <d v="2026-10-06T00:00:00"/>
    <n v="438"/>
    <x v="3"/>
    <x v="3"/>
    <n v="196"/>
    <n v="1625401.72"/>
    <n v="403973.8"/>
    <n v="1221427.92"/>
    <x v="9"/>
    <n v="0.78400000000000003"/>
  </r>
  <r>
    <s v="SK1184"/>
    <x v="77"/>
    <s v="DEL"/>
    <s v="BLR"/>
    <d v="2026-03-13T00:00:00"/>
    <n v="297"/>
    <x v="1"/>
    <x v="2"/>
    <n v="91"/>
    <n v="761782.41"/>
    <n v="354470.82"/>
    <n v="407311.59"/>
    <x v="4"/>
    <n v="0.50555555555555554"/>
  </r>
  <r>
    <s v="SK1185"/>
    <x v="59"/>
    <s v="MAA"/>
    <s v="BOM"/>
    <d v="2026-02-09T00:00:00"/>
    <n v="545"/>
    <x v="2"/>
    <x v="0"/>
    <n v="178"/>
    <n v="605307.37"/>
    <n v="561248.93000000005"/>
    <n v="44058.439999999944"/>
    <x v="3"/>
    <n v="0.59333333333333338"/>
  </r>
  <r>
    <s v="SK1186"/>
    <x v="26"/>
    <s v="BKK"/>
    <s v="DEL"/>
    <d v="2026-01-16T00:00:00"/>
    <n v="188"/>
    <x v="0"/>
    <x v="1"/>
    <n v="70"/>
    <n v="819155.86"/>
    <n v="211508.27"/>
    <n v="607647.59"/>
    <x v="1"/>
    <n v="0.46666666666666667"/>
  </r>
  <r>
    <s v="SK1187"/>
    <x v="57"/>
    <s v="MAA"/>
    <s v="DEL"/>
    <d v="2026-10-08T00:00:00"/>
    <n v="441"/>
    <x v="3"/>
    <x v="1"/>
    <n v="148"/>
    <n v="776843.61"/>
    <n v="560419.26"/>
    <n v="216424.34999999998"/>
    <x v="9"/>
    <n v="0.98666666666666669"/>
  </r>
  <r>
    <s v="SK1188"/>
    <x v="78"/>
    <s v="SIN"/>
    <s v="LHR"/>
    <d v="2026-08-01T00:00:00"/>
    <n v="285"/>
    <x v="3"/>
    <x v="3"/>
    <n v="125"/>
    <n v="877812.07"/>
    <n v="302165.44"/>
    <n v="575646.62999999989"/>
    <x v="0"/>
    <n v="0.5"/>
  </r>
  <r>
    <s v="SK1189"/>
    <x v="12"/>
    <s v="MAA"/>
    <s v="LHR"/>
    <d v="2026-03-16T00:00:00"/>
    <n v="338"/>
    <x v="1"/>
    <x v="0"/>
    <n v="199"/>
    <n v="2359509.0699999998"/>
    <n v="509745.95"/>
    <n v="1849763.1199999999"/>
    <x v="4"/>
    <n v="0.66333333333333333"/>
  </r>
  <r>
    <s v="SK1190"/>
    <x v="17"/>
    <s v="LHR"/>
    <s v="JFK"/>
    <d v="2026-07-20T00:00:00"/>
    <n v="183"/>
    <x v="2"/>
    <x v="0"/>
    <n v="296"/>
    <n v="1879988.67"/>
    <n v="323853.17"/>
    <n v="1556135.5"/>
    <x v="5"/>
    <n v="0.98666666666666669"/>
  </r>
  <r>
    <s v="SK1191"/>
    <x v="20"/>
    <s v="DEL"/>
    <s v="SIN"/>
    <d v="2026-05-22T00:00:00"/>
    <n v="519"/>
    <x v="2"/>
    <x v="3"/>
    <n v="186"/>
    <n v="2317814.4700000002"/>
    <n v="626089.02"/>
    <n v="1691725.4500000002"/>
    <x v="6"/>
    <n v="0.74399999999999999"/>
  </r>
  <r>
    <s v="SK1192"/>
    <x v="46"/>
    <s v="BKK"/>
    <s v="SIN"/>
    <d v="2026-02-15T00:00:00"/>
    <n v="201"/>
    <x v="1"/>
    <x v="1"/>
    <n v="121"/>
    <n v="550088.32999999996"/>
    <n v="233575.49"/>
    <n v="316512.83999999997"/>
    <x v="3"/>
    <n v="0.80666666666666664"/>
  </r>
  <r>
    <s v="SK1193"/>
    <x v="68"/>
    <s v="BKK"/>
    <s v="CCU"/>
    <d v="2026-10-02T00:00:00"/>
    <n v="343"/>
    <x v="1"/>
    <x v="1"/>
    <n v="120"/>
    <n v="1254736.08"/>
    <n v="380760.27"/>
    <n v="873975.81"/>
    <x v="9"/>
    <n v="0.8"/>
  </r>
  <r>
    <s v="SK1194"/>
    <x v="26"/>
    <s v="BKK"/>
    <s v="DEL"/>
    <d v="2026-09-22T00:00:00"/>
    <n v="379"/>
    <x v="2"/>
    <x v="0"/>
    <n v="101"/>
    <n v="668133.5"/>
    <n v="498244.24"/>
    <n v="169889.26"/>
    <x v="8"/>
    <n v="0.33666666666666667"/>
  </r>
  <r>
    <s v="SK1195"/>
    <x v="16"/>
    <s v="CCU"/>
    <s v="DEL"/>
    <d v="2026-09-21T00:00:00"/>
    <n v="573"/>
    <x v="2"/>
    <x v="1"/>
    <n v="135"/>
    <n v="1850530.05"/>
    <n v="435835.94"/>
    <n v="1414694.11"/>
    <x v="8"/>
    <n v="0.9"/>
  </r>
  <r>
    <s v="SK1196"/>
    <x v="49"/>
    <s v="JFK"/>
    <s v="BKK"/>
    <d v="2026-09-12T00:00:00"/>
    <n v="384"/>
    <x v="1"/>
    <x v="0"/>
    <n v="150"/>
    <n v="1528161.31"/>
    <n v="372893.99"/>
    <n v="1155267.32"/>
    <x v="8"/>
    <n v="0.5"/>
  </r>
  <r>
    <s v="SK1197"/>
    <x v="28"/>
    <s v="LHR"/>
    <s v="CCU"/>
    <d v="2026-03-17T00:00:00"/>
    <n v="233"/>
    <x v="0"/>
    <x v="3"/>
    <n v="154"/>
    <n v="1091827.4099999999"/>
    <n v="268382.90000000002"/>
    <n v="823444.50999999989"/>
    <x v="4"/>
    <n v="0.61599999999999999"/>
  </r>
  <r>
    <s v="SK1198"/>
    <x v="30"/>
    <s v="DEL"/>
    <s v="LHR"/>
    <d v="2026-05-12T00:00:00"/>
    <n v="514"/>
    <x v="1"/>
    <x v="0"/>
    <n v="53"/>
    <n v="403549.2"/>
    <n v="582462.61"/>
    <n v="-178913.40999999997"/>
    <x v="6"/>
    <n v="0.17666666666666667"/>
  </r>
  <r>
    <s v="SK1199"/>
    <x v="12"/>
    <s v="MAA"/>
    <s v="LHR"/>
    <d v="2026-09-19T00:00:00"/>
    <n v="273"/>
    <x v="2"/>
    <x v="2"/>
    <n v="110"/>
    <n v="953691.23"/>
    <n v="235223.48"/>
    <n v="718467.75"/>
    <x v="8"/>
    <n v="0.61111111111111116"/>
  </r>
  <r>
    <s v="SK1200"/>
    <x v="17"/>
    <s v="LHR"/>
    <s v="JFK"/>
    <d v="2026-05-22T00:00:00"/>
    <n v="350"/>
    <x v="1"/>
    <x v="1"/>
    <n v="133"/>
    <n v="729360.16"/>
    <n v="376560.29"/>
    <n v="352799.87000000005"/>
    <x v="6"/>
    <n v="0.88666666666666671"/>
  </r>
  <r>
    <s v="SK1201"/>
    <x v="16"/>
    <s v="CCU"/>
    <s v="DEL"/>
    <d v="2026-10-22T00:00:00"/>
    <n v="400"/>
    <x v="2"/>
    <x v="1"/>
    <n v="113"/>
    <n v="1034177.44"/>
    <n v="357176.87"/>
    <n v="677000.57"/>
    <x v="9"/>
    <n v="0.7533333333333333"/>
  </r>
  <r>
    <s v="SK1202"/>
    <x v="77"/>
    <s v="DEL"/>
    <s v="BLR"/>
    <d v="2026-02-28T00:00:00"/>
    <n v="242"/>
    <x v="2"/>
    <x v="3"/>
    <n v="190"/>
    <n v="2109958.0699999998"/>
    <n v="253598.19"/>
    <n v="1856359.88"/>
    <x v="3"/>
    <n v="0.76"/>
  </r>
  <r>
    <s v="SK1203"/>
    <x v="39"/>
    <s v="LHR"/>
    <s v="DEL"/>
    <d v="2026-08-28T00:00:00"/>
    <n v="360"/>
    <x v="3"/>
    <x v="3"/>
    <n v="246"/>
    <n v="742620.19"/>
    <n v="465373.15"/>
    <n v="277247.03999999992"/>
    <x v="0"/>
    <n v="0.98399999999999999"/>
  </r>
  <r>
    <s v="SK1204"/>
    <x v="27"/>
    <s v="SIN"/>
    <s v="BLR"/>
    <d v="2026-06-10T00:00:00"/>
    <n v="479"/>
    <x v="3"/>
    <x v="1"/>
    <n v="68"/>
    <n v="690598.36"/>
    <n v="498775.4"/>
    <n v="191822.95999999996"/>
    <x v="2"/>
    <n v="0.45333333333333331"/>
  </r>
  <r>
    <s v="SK1205"/>
    <x v="38"/>
    <s v="SIN"/>
    <s v="CCU"/>
    <d v="2026-10-12T00:00:00"/>
    <n v="164"/>
    <x v="3"/>
    <x v="2"/>
    <n v="100"/>
    <n v="1012392.95"/>
    <n v="173163.06"/>
    <n v="839229.8899999999"/>
    <x v="9"/>
    <n v="0.55555555555555558"/>
  </r>
  <r>
    <s v="SK1206"/>
    <x v="70"/>
    <s v="CCU"/>
    <s v="SIN"/>
    <d v="2026-04-27T00:00:00"/>
    <n v="573"/>
    <x v="2"/>
    <x v="2"/>
    <n v="180"/>
    <n v="1693369.74"/>
    <n v="433511.2"/>
    <n v="1259858.54"/>
    <x v="7"/>
    <n v="1"/>
  </r>
  <r>
    <s v="SK1207"/>
    <x v="30"/>
    <s v="DEL"/>
    <s v="LHR"/>
    <d v="2026-08-01T00:00:00"/>
    <n v="108"/>
    <x v="0"/>
    <x v="3"/>
    <n v="202"/>
    <n v="2373516.5299999998"/>
    <n v="228313.25"/>
    <n v="2145203.2799999998"/>
    <x v="0"/>
    <n v="0.80800000000000005"/>
  </r>
  <r>
    <s v="SK1208"/>
    <x v="17"/>
    <s v="LHR"/>
    <s v="JFK"/>
    <d v="2026-05-02T00:00:00"/>
    <n v="89"/>
    <x v="1"/>
    <x v="0"/>
    <n v="147"/>
    <n v="1118798.69"/>
    <n v="222542.69"/>
    <n v="896256"/>
    <x v="6"/>
    <n v="0.49"/>
  </r>
  <r>
    <s v="SK1209"/>
    <x v="43"/>
    <s v="MAA"/>
    <s v="CCU"/>
    <d v="2026-06-16T00:00:00"/>
    <n v="349"/>
    <x v="1"/>
    <x v="0"/>
    <n v="214"/>
    <n v="2300261.63"/>
    <n v="335439.38"/>
    <n v="1964822.25"/>
    <x v="2"/>
    <n v="0.71333333333333337"/>
  </r>
  <r>
    <s v="SK1210"/>
    <x v="15"/>
    <s v="JFK"/>
    <s v="DXB"/>
    <d v="2026-05-06T00:00:00"/>
    <n v="454"/>
    <x v="2"/>
    <x v="1"/>
    <n v="87"/>
    <n v="1145413.6299999999"/>
    <n v="470778.92"/>
    <n v="674634.71"/>
    <x v="6"/>
    <n v="0.57999999999999996"/>
  </r>
  <r>
    <s v="SK1211"/>
    <x v="25"/>
    <s v="BLR"/>
    <s v="DEL"/>
    <d v="2026-03-08T00:00:00"/>
    <n v="134"/>
    <x v="2"/>
    <x v="0"/>
    <n v="203"/>
    <n v="703994.29"/>
    <n v="219903.65"/>
    <n v="484090.64"/>
    <x v="4"/>
    <n v="0.67666666666666664"/>
  </r>
  <r>
    <s v="SK1212"/>
    <x v="5"/>
    <s v="MAA"/>
    <s v="SIN"/>
    <d v="2026-05-02T00:00:00"/>
    <n v="184"/>
    <x v="2"/>
    <x v="2"/>
    <n v="173"/>
    <n v="1170794.9099999999"/>
    <n v="296426.39"/>
    <n v="874368.5199999999"/>
    <x v="6"/>
    <n v="0.96111111111111114"/>
  </r>
  <r>
    <s v="SK1213"/>
    <x v="3"/>
    <s v="JFK"/>
    <s v="SIN"/>
    <d v="2026-05-06T00:00:00"/>
    <n v="559"/>
    <x v="2"/>
    <x v="1"/>
    <n v="145"/>
    <n v="1027273.56"/>
    <n v="566352.80000000005"/>
    <n v="460920.76"/>
    <x v="6"/>
    <n v="0.96666666666666667"/>
  </r>
  <r>
    <s v="SK1214"/>
    <x v="69"/>
    <s v="MAA"/>
    <s v="BLR"/>
    <d v="2026-02-11T00:00:00"/>
    <n v="413"/>
    <x v="1"/>
    <x v="1"/>
    <n v="100"/>
    <n v="512605.11"/>
    <n v="428202.74"/>
    <n v="84402.37"/>
    <x v="3"/>
    <n v="0.66666666666666663"/>
  </r>
  <r>
    <s v="SK1215"/>
    <x v="51"/>
    <s v="DEL"/>
    <s v="BKK"/>
    <d v="2026-04-21T00:00:00"/>
    <n v="198"/>
    <x v="1"/>
    <x v="3"/>
    <n v="66"/>
    <n v="779785.72"/>
    <n v="265647.83"/>
    <n v="514137.88999999996"/>
    <x v="7"/>
    <n v="0.26400000000000001"/>
  </r>
  <r>
    <s v="SK1216"/>
    <x v="12"/>
    <s v="MAA"/>
    <s v="LHR"/>
    <d v="2026-10-11T00:00:00"/>
    <n v="576"/>
    <x v="2"/>
    <x v="1"/>
    <n v="85"/>
    <n v="1180081.67"/>
    <n v="416372.54"/>
    <n v="763709.12999999989"/>
    <x v="9"/>
    <n v="0.56666666666666665"/>
  </r>
  <r>
    <s v="SK1217"/>
    <x v="78"/>
    <s v="SIN"/>
    <s v="LHR"/>
    <d v="2026-01-05T00:00:00"/>
    <n v="243"/>
    <x v="1"/>
    <x v="1"/>
    <n v="95"/>
    <n v="324285.84000000003"/>
    <n v="361430.27"/>
    <n v="-37144.429999999993"/>
    <x v="1"/>
    <n v="0.6333333333333333"/>
  </r>
  <r>
    <s v="SK1218"/>
    <x v="56"/>
    <s v="JFK"/>
    <s v="BOM"/>
    <d v="2026-07-02T00:00:00"/>
    <n v="287"/>
    <x v="3"/>
    <x v="3"/>
    <n v="210"/>
    <n v="2048033.48"/>
    <n v="357141.84"/>
    <n v="1690891.64"/>
    <x v="5"/>
    <n v="0.84"/>
  </r>
  <r>
    <s v="SK1219"/>
    <x v="21"/>
    <s v="LHR"/>
    <s v="MAA"/>
    <d v="2026-04-02T00:00:00"/>
    <n v="424"/>
    <x v="0"/>
    <x v="0"/>
    <n v="122"/>
    <n v="453066.38"/>
    <n v="362940.22"/>
    <n v="90126.160000000033"/>
    <x v="7"/>
    <n v="0.40666666666666668"/>
  </r>
  <r>
    <s v="SK1220"/>
    <x v="40"/>
    <s v="DEL"/>
    <s v="MAA"/>
    <d v="2026-07-08T00:00:00"/>
    <n v="346"/>
    <x v="0"/>
    <x v="0"/>
    <n v="163"/>
    <n v="1421705.82"/>
    <n v="489566.28"/>
    <n v="932139.54"/>
    <x v="5"/>
    <n v="0.54333333333333333"/>
  </r>
  <r>
    <s v="SK1221"/>
    <x v="42"/>
    <s v="BKK"/>
    <s v="BOM"/>
    <d v="2026-06-01T00:00:00"/>
    <n v="345"/>
    <x v="2"/>
    <x v="2"/>
    <n v="96"/>
    <n v="1429109.03"/>
    <n v="310957.21999999997"/>
    <n v="1118151.81"/>
    <x v="2"/>
    <n v="0.53333333333333333"/>
  </r>
  <r>
    <s v="SK1222"/>
    <x v="79"/>
    <s v="DEL"/>
    <s v="CCU"/>
    <d v="2026-01-01T00:00:00"/>
    <n v="200"/>
    <x v="1"/>
    <x v="0"/>
    <n v="182"/>
    <n v="2341087.77"/>
    <n v="363285.64"/>
    <n v="1977802.13"/>
    <x v="1"/>
    <n v="0.60666666666666669"/>
  </r>
  <r>
    <s v="SK1223"/>
    <x v="10"/>
    <s v="DXB"/>
    <s v="SIN"/>
    <d v="2026-09-17T00:00:00"/>
    <n v="473"/>
    <x v="0"/>
    <x v="2"/>
    <n v="124"/>
    <n v="891044.95"/>
    <n v="363251.47"/>
    <n v="527793.48"/>
    <x v="8"/>
    <n v="0.68888888888888888"/>
  </r>
  <r>
    <s v="SK1224"/>
    <x v="37"/>
    <s v="CCU"/>
    <s v="MAA"/>
    <d v="2026-05-24T00:00:00"/>
    <n v="417"/>
    <x v="1"/>
    <x v="2"/>
    <n v="62"/>
    <n v="682139.69"/>
    <n v="360123.73"/>
    <n v="322015.95999999996"/>
    <x v="6"/>
    <n v="0.34444444444444444"/>
  </r>
  <r>
    <s v="SK1225"/>
    <x v="43"/>
    <s v="MAA"/>
    <s v="CCU"/>
    <d v="2026-02-22T00:00:00"/>
    <n v="380"/>
    <x v="2"/>
    <x v="1"/>
    <n v="79"/>
    <n v="1165074.1000000001"/>
    <n v="425529.16"/>
    <n v="739544.94000000018"/>
    <x v="3"/>
    <n v="0.52666666666666662"/>
  </r>
  <r>
    <s v="SK1226"/>
    <x v="26"/>
    <s v="BKK"/>
    <s v="DEL"/>
    <d v="2026-03-15T00:00:00"/>
    <n v="69"/>
    <x v="1"/>
    <x v="0"/>
    <n v="103"/>
    <n v="397714.9"/>
    <n v="217470.41"/>
    <n v="180244.49000000002"/>
    <x v="4"/>
    <n v="0.34333333333333332"/>
  </r>
  <r>
    <s v="SK1227"/>
    <x v="46"/>
    <s v="BKK"/>
    <s v="SIN"/>
    <d v="2026-09-21T00:00:00"/>
    <n v="525"/>
    <x v="1"/>
    <x v="3"/>
    <n v="208"/>
    <n v="1333548.1399999999"/>
    <n v="436681.92"/>
    <n v="896866.22"/>
    <x v="8"/>
    <n v="0.83199999999999996"/>
  </r>
  <r>
    <s v="SK1228"/>
    <x v="52"/>
    <s v="BLR"/>
    <s v="SIN"/>
    <d v="2026-10-01T00:00:00"/>
    <n v="155"/>
    <x v="3"/>
    <x v="2"/>
    <n v="136"/>
    <n v="1359890.96"/>
    <n v="218166.03"/>
    <n v="1141724.93"/>
    <x v="9"/>
    <n v="0.75555555555555554"/>
  </r>
  <r>
    <s v="SK1229"/>
    <x v="51"/>
    <s v="DEL"/>
    <s v="BKK"/>
    <d v="2026-04-17T00:00:00"/>
    <n v="196"/>
    <x v="0"/>
    <x v="2"/>
    <n v="149"/>
    <n v="2069073.28"/>
    <n v="317377.38"/>
    <n v="1751695.9"/>
    <x v="7"/>
    <n v="0.82777777777777772"/>
  </r>
  <r>
    <s v="SK1230"/>
    <x v="78"/>
    <s v="SIN"/>
    <s v="LHR"/>
    <d v="2026-08-06T00:00:00"/>
    <n v="234"/>
    <x v="0"/>
    <x v="1"/>
    <n v="70"/>
    <n v="945429.43"/>
    <n v="221943.83"/>
    <n v="723485.60000000009"/>
    <x v="0"/>
    <n v="0.46666666666666667"/>
  </r>
  <r>
    <s v="SK1231"/>
    <x v="51"/>
    <s v="DEL"/>
    <s v="BKK"/>
    <d v="2026-05-20T00:00:00"/>
    <n v="352"/>
    <x v="3"/>
    <x v="1"/>
    <n v="150"/>
    <n v="1347427.44"/>
    <n v="345893.6"/>
    <n v="1001533.84"/>
    <x v="6"/>
    <n v="1"/>
  </r>
  <r>
    <s v="SK1232"/>
    <x v="70"/>
    <s v="CCU"/>
    <s v="SIN"/>
    <d v="2026-01-13T00:00:00"/>
    <n v="269"/>
    <x v="2"/>
    <x v="1"/>
    <n v="149"/>
    <n v="1967422.23"/>
    <n v="249418.48"/>
    <n v="1718003.75"/>
    <x v="1"/>
    <n v="0.99333333333333329"/>
  </r>
  <r>
    <s v="SK1233"/>
    <x v="20"/>
    <s v="DEL"/>
    <s v="SIN"/>
    <d v="2026-06-22T00:00:00"/>
    <n v="221"/>
    <x v="2"/>
    <x v="0"/>
    <n v="57"/>
    <n v="616721.6"/>
    <n v="374761.03"/>
    <n v="241960.56999999995"/>
    <x v="2"/>
    <n v="0.19"/>
  </r>
  <r>
    <s v="SK1234"/>
    <x v="25"/>
    <s v="BLR"/>
    <s v="DEL"/>
    <d v="2026-08-23T00:00:00"/>
    <n v="286"/>
    <x v="2"/>
    <x v="1"/>
    <n v="98"/>
    <n v="425138.36"/>
    <n v="321275.55"/>
    <n v="103862.81"/>
    <x v="0"/>
    <n v="0.65333333333333332"/>
  </r>
  <r>
    <s v="SK1235"/>
    <x v="1"/>
    <s v="JFK"/>
    <s v="BLR"/>
    <d v="2026-06-12T00:00:00"/>
    <n v="446"/>
    <x v="0"/>
    <x v="2"/>
    <n v="66"/>
    <n v="915604.18"/>
    <n v="396256"/>
    <n v="519348.18000000005"/>
    <x v="2"/>
    <n v="0.36666666666666664"/>
  </r>
  <r>
    <s v="SK1236"/>
    <x v="80"/>
    <s v="CCU"/>
    <s v="DXB"/>
    <d v="2026-09-29T00:00:00"/>
    <n v="524"/>
    <x v="1"/>
    <x v="0"/>
    <n v="235"/>
    <n v="3122105.36"/>
    <n v="623040.36"/>
    <n v="2499065"/>
    <x v="8"/>
    <n v="0.78333333333333333"/>
  </r>
  <r>
    <s v="SK1237"/>
    <x v="27"/>
    <s v="SIN"/>
    <s v="BLR"/>
    <d v="2026-01-07T00:00:00"/>
    <n v="71"/>
    <x v="1"/>
    <x v="0"/>
    <n v="92"/>
    <n v="1007960.11"/>
    <n v="212754.59"/>
    <n v="795205.52"/>
    <x v="1"/>
    <n v="0.30666666666666664"/>
  </r>
  <r>
    <s v="SK1238"/>
    <x v="39"/>
    <s v="LHR"/>
    <s v="DEL"/>
    <d v="2026-02-28T00:00:00"/>
    <n v="254"/>
    <x v="2"/>
    <x v="1"/>
    <n v="78"/>
    <n v="464821"/>
    <n v="288068.90000000002"/>
    <n v="176752.09999999998"/>
    <x v="3"/>
    <n v="0.52"/>
  </r>
  <r>
    <s v="SK1239"/>
    <x v="71"/>
    <s v="DXB"/>
    <s v="BKK"/>
    <d v="2026-10-15T00:00:00"/>
    <n v="599"/>
    <x v="3"/>
    <x v="1"/>
    <n v="66"/>
    <n v="376501.96"/>
    <n v="456612.81"/>
    <n v="-80110.849999999977"/>
    <x v="9"/>
    <n v="0.44"/>
  </r>
  <r>
    <s v="SK1240"/>
    <x v="8"/>
    <s v="DXB"/>
    <s v="MAA"/>
    <d v="2026-06-30T00:00:00"/>
    <n v="515"/>
    <x v="1"/>
    <x v="0"/>
    <n v="288"/>
    <n v="1430372.82"/>
    <n v="639236.22"/>
    <n v="791136.60000000009"/>
    <x v="2"/>
    <n v="0.96"/>
  </r>
  <r>
    <s v="SK1241"/>
    <x v="79"/>
    <s v="DEL"/>
    <s v="CCU"/>
    <d v="2026-06-23T00:00:00"/>
    <n v="301"/>
    <x v="3"/>
    <x v="1"/>
    <n v="54"/>
    <n v="484258.47"/>
    <n v="274013.87"/>
    <n v="210244.59999999998"/>
    <x v="2"/>
    <n v="0.36"/>
  </r>
  <r>
    <s v="SK1242"/>
    <x v="81"/>
    <s v="BKK"/>
    <s v="MAA"/>
    <d v="2026-03-02T00:00:00"/>
    <n v="181"/>
    <x v="2"/>
    <x v="2"/>
    <n v="87"/>
    <n v="1230521.3400000001"/>
    <n v="276900.25"/>
    <n v="953621.09000000008"/>
    <x v="4"/>
    <n v="0.48333333333333334"/>
  </r>
  <r>
    <s v="SK1243"/>
    <x v="39"/>
    <s v="LHR"/>
    <s v="DEL"/>
    <d v="2026-06-10T00:00:00"/>
    <n v="390"/>
    <x v="2"/>
    <x v="2"/>
    <n v="60"/>
    <n v="462137.97"/>
    <n v="464938.06"/>
    <n v="-2800.0900000000256"/>
    <x v="2"/>
    <n v="0.33333333333333331"/>
  </r>
  <r>
    <s v="SK1244"/>
    <x v="18"/>
    <s v="DXB"/>
    <s v="LHR"/>
    <d v="2026-05-19T00:00:00"/>
    <n v="416"/>
    <x v="2"/>
    <x v="2"/>
    <n v="68"/>
    <n v="347693.9"/>
    <n v="360304.29"/>
    <n v="-12610.389999999956"/>
    <x v="6"/>
    <n v="0.37777777777777777"/>
  </r>
  <r>
    <s v="SK1245"/>
    <x v="74"/>
    <s v="LHR"/>
    <s v="BKK"/>
    <d v="2026-09-30T00:00:00"/>
    <n v="304"/>
    <x v="1"/>
    <x v="2"/>
    <n v="57"/>
    <n v="281583.26"/>
    <n v="343484.34"/>
    <n v="-61901.080000000016"/>
    <x v="8"/>
    <n v="0.31666666666666665"/>
  </r>
  <r>
    <s v="SK1246"/>
    <x v="7"/>
    <s v="DXB"/>
    <s v="CCU"/>
    <d v="2026-04-03T00:00:00"/>
    <n v="145"/>
    <x v="1"/>
    <x v="1"/>
    <n v="86"/>
    <n v="267327.7"/>
    <n v="183738.48"/>
    <n v="83589.22"/>
    <x v="7"/>
    <n v="0.57333333333333336"/>
  </r>
  <r>
    <s v="SK1247"/>
    <x v="82"/>
    <s v="BOM"/>
    <s v="JFK"/>
    <d v="2026-04-11T00:00:00"/>
    <n v="214"/>
    <x v="2"/>
    <x v="1"/>
    <n v="116"/>
    <n v="1593342.77"/>
    <n v="182066.33"/>
    <n v="1411276.44"/>
    <x v="7"/>
    <n v="0.77333333333333332"/>
  </r>
  <r>
    <s v="SK1248"/>
    <x v="68"/>
    <s v="BKK"/>
    <s v="CCU"/>
    <d v="2026-03-30T00:00:00"/>
    <n v="386"/>
    <x v="2"/>
    <x v="3"/>
    <n v="197"/>
    <n v="2374082.4"/>
    <n v="566158.81999999995"/>
    <n v="1807923.58"/>
    <x v="4"/>
    <n v="0.78800000000000003"/>
  </r>
  <r>
    <s v="SK1249"/>
    <x v="53"/>
    <s v="SIN"/>
    <s v="MAA"/>
    <d v="2026-06-30T00:00:00"/>
    <n v="150"/>
    <x v="3"/>
    <x v="0"/>
    <n v="242"/>
    <n v="1424118.44"/>
    <n v="245117.26"/>
    <n v="1179001.18"/>
    <x v="2"/>
    <n v="0.80666666666666664"/>
  </r>
  <r>
    <s v="SK1250"/>
    <x v="38"/>
    <s v="SIN"/>
    <s v="CCU"/>
    <d v="2026-07-12T00:00:00"/>
    <n v="460"/>
    <x v="3"/>
    <x v="2"/>
    <n v="117"/>
    <n v="1167597.7"/>
    <n v="460589.77"/>
    <n v="707007.92999999993"/>
    <x v="5"/>
    <n v="0.65"/>
  </r>
  <r>
    <s v="SK1251"/>
    <x v="47"/>
    <s v="LHR"/>
    <s v="DXB"/>
    <d v="2026-07-18T00:00:00"/>
    <n v="362"/>
    <x v="0"/>
    <x v="3"/>
    <n v="203"/>
    <n v="2783271.84"/>
    <n v="412288.12"/>
    <n v="2370983.7199999997"/>
    <x v="5"/>
    <n v="0.81200000000000006"/>
  </r>
  <r>
    <s v="SK1252"/>
    <x v="29"/>
    <s v="BLR"/>
    <s v="DXB"/>
    <d v="2026-02-10T00:00:00"/>
    <n v="427"/>
    <x v="0"/>
    <x v="0"/>
    <n v="152"/>
    <n v="515844.75"/>
    <n v="553613.09"/>
    <n v="-37768.339999999967"/>
    <x v="3"/>
    <n v="0.50666666666666671"/>
  </r>
  <r>
    <s v="SK1253"/>
    <x v="30"/>
    <s v="DEL"/>
    <s v="LHR"/>
    <d v="2026-06-13T00:00:00"/>
    <n v="595"/>
    <x v="1"/>
    <x v="2"/>
    <n v="53"/>
    <n v="255414.47"/>
    <n v="752305.3"/>
    <n v="-496890.83000000007"/>
    <x v="2"/>
    <n v="0.29444444444444445"/>
  </r>
  <r>
    <s v="SK1254"/>
    <x v="42"/>
    <s v="BKK"/>
    <s v="BOM"/>
    <d v="2026-06-18T00:00:00"/>
    <n v="568"/>
    <x v="2"/>
    <x v="0"/>
    <n v="103"/>
    <n v="756649.85"/>
    <n v="721515.8"/>
    <n v="35134.04999999993"/>
    <x v="2"/>
    <n v="0.34333333333333332"/>
  </r>
  <r>
    <s v="SK1255"/>
    <x v="83"/>
    <s v="BOM"/>
    <s v="DEL"/>
    <d v="2026-06-28T00:00:00"/>
    <n v="401"/>
    <x v="0"/>
    <x v="0"/>
    <n v="269"/>
    <n v="1807952.89"/>
    <n v="555895.13"/>
    <n v="1252057.7599999998"/>
    <x v="2"/>
    <n v="0.89666666666666661"/>
  </r>
  <r>
    <s v="SK1256"/>
    <x v="76"/>
    <s v="BLR"/>
    <s v="BOM"/>
    <d v="2026-01-25T00:00:00"/>
    <n v="171"/>
    <x v="0"/>
    <x v="3"/>
    <n v="234"/>
    <n v="1743602.35"/>
    <n v="318462.24"/>
    <n v="1425140.11"/>
    <x v="1"/>
    <n v="0.93600000000000005"/>
  </r>
  <r>
    <s v="SK1257"/>
    <x v="25"/>
    <s v="BLR"/>
    <s v="DEL"/>
    <d v="2026-02-28T00:00:00"/>
    <n v="261"/>
    <x v="1"/>
    <x v="3"/>
    <n v="211"/>
    <n v="2609559.5099999998"/>
    <n v="362155.29"/>
    <n v="2247404.2199999997"/>
    <x v="3"/>
    <n v="0.84399999999999997"/>
  </r>
  <r>
    <s v="SK1258"/>
    <x v="79"/>
    <s v="DEL"/>
    <s v="CCU"/>
    <d v="2026-04-12T00:00:00"/>
    <n v="250"/>
    <x v="2"/>
    <x v="3"/>
    <n v="85"/>
    <n v="1246868.3999999999"/>
    <n v="328542.39"/>
    <n v="918326.00999999989"/>
    <x v="7"/>
    <n v="0.34"/>
  </r>
  <r>
    <s v="SK1259"/>
    <x v="65"/>
    <s v="CCU"/>
    <s v="BKK"/>
    <d v="2026-06-16T00:00:00"/>
    <n v="568"/>
    <x v="3"/>
    <x v="1"/>
    <n v="130"/>
    <n v="438138.33"/>
    <n v="379633.57"/>
    <n v="58504.760000000009"/>
    <x v="2"/>
    <n v="0.8666666666666667"/>
  </r>
  <r>
    <s v="SK1260"/>
    <x v="20"/>
    <s v="DEL"/>
    <s v="SIN"/>
    <d v="2026-02-18T00:00:00"/>
    <n v="135"/>
    <x v="1"/>
    <x v="3"/>
    <n v="158"/>
    <n v="2269683.9"/>
    <n v="239396.45"/>
    <n v="2030287.45"/>
    <x v="3"/>
    <n v="0.63200000000000001"/>
  </r>
  <r>
    <s v="SK1261"/>
    <x v="80"/>
    <s v="CCU"/>
    <s v="DXB"/>
    <d v="2026-03-19T00:00:00"/>
    <n v="329"/>
    <x v="3"/>
    <x v="1"/>
    <n v="53"/>
    <n v="514511.68"/>
    <n v="354900.54"/>
    <n v="159611.14000000001"/>
    <x v="4"/>
    <n v="0.35333333333333333"/>
  </r>
  <r>
    <s v="SK1262"/>
    <x v="51"/>
    <s v="DEL"/>
    <s v="BKK"/>
    <d v="2026-01-13T00:00:00"/>
    <n v="299"/>
    <x v="1"/>
    <x v="2"/>
    <n v="129"/>
    <n v="590894.86"/>
    <n v="420606.4"/>
    <n v="170288.45999999996"/>
    <x v="1"/>
    <n v="0.71666666666666667"/>
  </r>
  <r>
    <s v="SK1263"/>
    <x v="80"/>
    <s v="CCU"/>
    <s v="DXB"/>
    <d v="2026-01-07T00:00:00"/>
    <n v="265"/>
    <x v="1"/>
    <x v="3"/>
    <n v="244"/>
    <n v="3222791.8"/>
    <n v="439643.51"/>
    <n v="2783148.29"/>
    <x v="1"/>
    <n v="0.97599999999999998"/>
  </r>
  <r>
    <s v="SK1264"/>
    <x v="68"/>
    <s v="BKK"/>
    <s v="CCU"/>
    <d v="2026-10-10T00:00:00"/>
    <n v="199"/>
    <x v="2"/>
    <x v="2"/>
    <n v="146"/>
    <n v="1192306.45"/>
    <n v="311803.24"/>
    <n v="880503.21"/>
    <x v="9"/>
    <n v="0.81111111111111112"/>
  </r>
  <r>
    <s v="SK1265"/>
    <x v="13"/>
    <s v="BKK"/>
    <s v="LHR"/>
    <d v="2026-08-02T00:00:00"/>
    <n v="256"/>
    <x v="0"/>
    <x v="2"/>
    <n v="96"/>
    <n v="727420.08"/>
    <n v="393983.28"/>
    <n v="333436.79999999993"/>
    <x v="0"/>
    <n v="0.53333333333333333"/>
  </r>
  <r>
    <s v="SK1266"/>
    <x v="22"/>
    <s v="CCU"/>
    <s v="BOM"/>
    <d v="2026-09-05T00:00:00"/>
    <n v="463"/>
    <x v="2"/>
    <x v="0"/>
    <n v="131"/>
    <n v="1872680.29"/>
    <n v="677964.35"/>
    <n v="1194715.94"/>
    <x v="8"/>
    <n v="0.43666666666666665"/>
  </r>
  <r>
    <s v="SK1267"/>
    <x v="50"/>
    <s v="BLR"/>
    <s v="JFK"/>
    <d v="2026-03-23T00:00:00"/>
    <n v="533"/>
    <x v="1"/>
    <x v="1"/>
    <n v="98"/>
    <n v="701512.42"/>
    <n v="489849.18"/>
    <n v="211663.24000000005"/>
    <x v="4"/>
    <n v="0.65333333333333332"/>
  </r>
  <r>
    <s v="SK1268"/>
    <x v="78"/>
    <s v="SIN"/>
    <s v="LHR"/>
    <d v="2026-01-22T00:00:00"/>
    <n v="213"/>
    <x v="0"/>
    <x v="3"/>
    <n v="88"/>
    <n v="445748.8"/>
    <n v="369495.36"/>
    <n v="76253.440000000002"/>
    <x v="1"/>
    <n v="0.35199999999999998"/>
  </r>
  <r>
    <s v="SK1269"/>
    <x v="33"/>
    <s v="DEL"/>
    <s v="BOM"/>
    <d v="2026-10-17T00:00:00"/>
    <n v="193"/>
    <x v="0"/>
    <x v="3"/>
    <n v="59"/>
    <n v="496086.02"/>
    <n v="312294.77"/>
    <n v="183791.25"/>
    <x v="9"/>
    <n v="0.23599999999999999"/>
  </r>
  <r>
    <s v="SK1270"/>
    <x v="68"/>
    <s v="BKK"/>
    <s v="CCU"/>
    <d v="2026-03-06T00:00:00"/>
    <n v="213"/>
    <x v="2"/>
    <x v="2"/>
    <n v="102"/>
    <n v="1462357.18"/>
    <n v="306317.40000000002"/>
    <n v="1156039.7799999998"/>
    <x v="4"/>
    <n v="0.56666666666666665"/>
  </r>
  <r>
    <s v="SK1271"/>
    <x v="1"/>
    <s v="JFK"/>
    <s v="BLR"/>
    <d v="2026-03-09T00:00:00"/>
    <n v="66"/>
    <x v="2"/>
    <x v="1"/>
    <n v="85"/>
    <n v="1213444.54"/>
    <n v="118186.35"/>
    <n v="1095258.19"/>
    <x v="4"/>
    <n v="0.56666666666666665"/>
  </r>
  <r>
    <s v="SK1272"/>
    <x v="21"/>
    <s v="LHR"/>
    <s v="MAA"/>
    <d v="2026-06-27T00:00:00"/>
    <n v="478"/>
    <x v="1"/>
    <x v="3"/>
    <n v="134"/>
    <n v="1872594.25"/>
    <n v="509223.42"/>
    <n v="1363370.83"/>
    <x v="2"/>
    <n v="0.53600000000000003"/>
  </r>
  <r>
    <s v="SK1273"/>
    <x v="28"/>
    <s v="LHR"/>
    <s v="CCU"/>
    <d v="2026-02-10T00:00:00"/>
    <n v="229"/>
    <x v="3"/>
    <x v="0"/>
    <n v="286"/>
    <n v="1171655.58"/>
    <n v="296443.03000000003"/>
    <n v="875212.55"/>
    <x v="3"/>
    <n v="0.95333333333333337"/>
  </r>
  <r>
    <s v="SK1274"/>
    <x v="1"/>
    <s v="JFK"/>
    <s v="BLR"/>
    <d v="2026-10-17T00:00:00"/>
    <n v="355"/>
    <x v="0"/>
    <x v="1"/>
    <n v="99"/>
    <n v="1167487.3700000001"/>
    <n v="403272.83"/>
    <n v="764214.54"/>
    <x v="9"/>
    <n v="0.66"/>
  </r>
  <r>
    <s v="SK1275"/>
    <x v="56"/>
    <s v="JFK"/>
    <s v="BOM"/>
    <d v="2026-03-18T00:00:00"/>
    <n v="563"/>
    <x v="3"/>
    <x v="3"/>
    <n v="151"/>
    <n v="1799101.27"/>
    <n v="697313.24"/>
    <n v="1101788.03"/>
    <x v="4"/>
    <n v="0.60399999999999998"/>
  </r>
  <r>
    <s v="SK1276"/>
    <x v="44"/>
    <s v="JFK"/>
    <s v="MAA"/>
    <d v="2026-10-22T00:00:00"/>
    <n v="428"/>
    <x v="1"/>
    <x v="0"/>
    <n v="146"/>
    <n v="2006646.35"/>
    <n v="563672.32999999996"/>
    <n v="1442974.02"/>
    <x v="9"/>
    <n v="0.48666666666666669"/>
  </r>
  <r>
    <s v="SK1277"/>
    <x v="64"/>
    <s v="BOM"/>
    <s v="MAA"/>
    <d v="2026-06-17T00:00:00"/>
    <n v="479"/>
    <x v="3"/>
    <x v="0"/>
    <n v="156"/>
    <n v="2220717.3199999998"/>
    <n v="410961.33"/>
    <n v="1809755.9899999998"/>
    <x v="2"/>
    <n v="0.52"/>
  </r>
  <r>
    <s v="SK1278"/>
    <x v="12"/>
    <s v="MAA"/>
    <s v="LHR"/>
    <d v="2026-05-15T00:00:00"/>
    <n v="147"/>
    <x v="1"/>
    <x v="0"/>
    <n v="256"/>
    <n v="1631348.99"/>
    <n v="296863.58"/>
    <n v="1334485.4099999999"/>
    <x v="6"/>
    <n v="0.85333333333333339"/>
  </r>
  <r>
    <s v="SK1279"/>
    <x v="1"/>
    <s v="JFK"/>
    <s v="BLR"/>
    <d v="2026-07-21T00:00:00"/>
    <n v="80"/>
    <x v="3"/>
    <x v="3"/>
    <n v="244"/>
    <n v="3115760.01"/>
    <n v="203367.52"/>
    <n v="2912392.4899999998"/>
    <x v="5"/>
    <n v="0.97599999999999998"/>
  </r>
  <r>
    <s v="SK1280"/>
    <x v="39"/>
    <s v="LHR"/>
    <s v="DEL"/>
    <d v="2026-08-22T00:00:00"/>
    <n v="594"/>
    <x v="2"/>
    <x v="1"/>
    <n v="110"/>
    <n v="797001.69"/>
    <n v="716513.42"/>
    <n v="80488.269999999902"/>
    <x v="0"/>
    <n v="0.73333333333333328"/>
  </r>
  <r>
    <s v="SK1281"/>
    <x v="76"/>
    <s v="BLR"/>
    <s v="BOM"/>
    <d v="2026-10-22T00:00:00"/>
    <n v="156"/>
    <x v="2"/>
    <x v="1"/>
    <n v="110"/>
    <n v="848404.58"/>
    <n v="213428.13"/>
    <n v="634976.44999999995"/>
    <x v="9"/>
    <n v="0.73333333333333328"/>
  </r>
  <r>
    <s v="SK1282"/>
    <x v="84"/>
    <s v="MAA"/>
    <s v="JFK"/>
    <d v="2026-03-17T00:00:00"/>
    <n v="530"/>
    <x v="1"/>
    <x v="3"/>
    <n v="207"/>
    <n v="1711999.13"/>
    <n v="616512.85"/>
    <n v="1095486.2799999998"/>
    <x v="4"/>
    <n v="0.82799999999999996"/>
  </r>
  <r>
    <s v="SK1283"/>
    <x v="0"/>
    <s v="JFK"/>
    <s v="DEL"/>
    <d v="2026-03-26T00:00:00"/>
    <n v="509"/>
    <x v="2"/>
    <x v="2"/>
    <n v="157"/>
    <n v="1441134.43"/>
    <n v="401993.57"/>
    <n v="1039140.8599999999"/>
    <x v="4"/>
    <n v="0.87222222222222223"/>
  </r>
  <r>
    <s v="SK1284"/>
    <x v="62"/>
    <s v="JFK"/>
    <s v="CCU"/>
    <d v="2026-04-25T00:00:00"/>
    <n v="293"/>
    <x v="1"/>
    <x v="3"/>
    <n v="216"/>
    <n v="797641.76"/>
    <n v="351700.84"/>
    <n v="445940.92"/>
    <x v="7"/>
    <n v="0.86399999999999999"/>
  </r>
  <r>
    <s v="SK1285"/>
    <x v="79"/>
    <s v="DEL"/>
    <s v="CCU"/>
    <d v="2026-10-16T00:00:00"/>
    <n v="540"/>
    <x v="0"/>
    <x v="3"/>
    <n v="123"/>
    <n v="976912.36"/>
    <n v="679858.77"/>
    <n v="297053.58999999997"/>
    <x v="9"/>
    <n v="0.49199999999999999"/>
  </r>
  <r>
    <s v="SK1286"/>
    <x v="53"/>
    <s v="SIN"/>
    <s v="MAA"/>
    <d v="2026-08-27T00:00:00"/>
    <n v="264"/>
    <x v="1"/>
    <x v="1"/>
    <n v="113"/>
    <n v="1604320.53"/>
    <n v="288144.86"/>
    <n v="1316175.67"/>
    <x v="0"/>
    <n v="0.7533333333333333"/>
  </r>
  <r>
    <s v="SK1287"/>
    <x v="8"/>
    <s v="DXB"/>
    <s v="MAA"/>
    <d v="2026-04-13T00:00:00"/>
    <n v="252"/>
    <x v="2"/>
    <x v="2"/>
    <n v="66"/>
    <n v="876988.65"/>
    <n v="334760.67"/>
    <n v="542227.98"/>
    <x v="7"/>
    <n v="0.36666666666666664"/>
  </r>
  <r>
    <s v="SK1288"/>
    <x v="85"/>
    <s v="SIN"/>
    <s v="DXB"/>
    <d v="2026-04-03T00:00:00"/>
    <n v="564"/>
    <x v="3"/>
    <x v="0"/>
    <n v="218"/>
    <n v="1923007.63"/>
    <n v="563716.49"/>
    <n v="1359291.14"/>
    <x v="7"/>
    <n v="0.72666666666666668"/>
  </r>
  <r>
    <s v="SK1289"/>
    <x v="45"/>
    <s v="MAA"/>
    <s v="BKK"/>
    <d v="2026-09-28T00:00:00"/>
    <n v="198"/>
    <x v="2"/>
    <x v="2"/>
    <n v="79"/>
    <n v="851089.97"/>
    <n v="191149.45"/>
    <n v="659940.52"/>
    <x v="8"/>
    <n v="0.43888888888888888"/>
  </r>
  <r>
    <s v="SK1290"/>
    <x v="65"/>
    <s v="CCU"/>
    <s v="BKK"/>
    <d v="2026-04-26T00:00:00"/>
    <n v="108"/>
    <x v="2"/>
    <x v="2"/>
    <n v="115"/>
    <n v="1053448.1299999999"/>
    <n v="218784.86"/>
    <n v="834663.2699999999"/>
    <x v="7"/>
    <n v="0.63888888888888884"/>
  </r>
  <r>
    <s v="SK1291"/>
    <x v="24"/>
    <s v="BOM"/>
    <s v="BKK"/>
    <d v="2026-03-01T00:00:00"/>
    <n v="181"/>
    <x v="0"/>
    <x v="3"/>
    <n v="145"/>
    <n v="449552.81"/>
    <n v="243078.46"/>
    <n v="206474.35"/>
    <x v="4"/>
    <n v="0.57999999999999996"/>
  </r>
  <r>
    <s v="SK1292"/>
    <x v="7"/>
    <s v="DXB"/>
    <s v="CCU"/>
    <d v="2026-05-16T00:00:00"/>
    <n v="260"/>
    <x v="3"/>
    <x v="2"/>
    <n v="150"/>
    <n v="1387931.74"/>
    <n v="283736.94"/>
    <n v="1104194.8"/>
    <x v="6"/>
    <n v="0.83333333333333337"/>
  </r>
  <r>
    <s v="SK1293"/>
    <x v="31"/>
    <s v="DEL"/>
    <s v="DXB"/>
    <d v="2026-03-12T00:00:00"/>
    <n v="151"/>
    <x v="2"/>
    <x v="3"/>
    <n v="183"/>
    <n v="2195951.25"/>
    <n v="296499.75"/>
    <n v="1899451.5"/>
    <x v="4"/>
    <n v="0.73199999999999998"/>
  </r>
  <r>
    <s v="SK1294"/>
    <x v="3"/>
    <s v="JFK"/>
    <s v="SIN"/>
    <d v="2026-03-03T00:00:00"/>
    <n v="504"/>
    <x v="2"/>
    <x v="3"/>
    <n v="103"/>
    <n v="786358.02"/>
    <n v="584624.54"/>
    <n v="201733.47999999998"/>
    <x v="4"/>
    <n v="0.41199999999999998"/>
  </r>
  <r>
    <s v="SK1295"/>
    <x v="42"/>
    <s v="BKK"/>
    <s v="BOM"/>
    <d v="2026-03-22T00:00:00"/>
    <n v="573"/>
    <x v="3"/>
    <x v="0"/>
    <n v="164"/>
    <n v="2109363.2999999998"/>
    <n v="701029.77"/>
    <n v="1408333.5299999998"/>
    <x v="4"/>
    <n v="0.54666666666666663"/>
  </r>
  <r>
    <s v="SK1296"/>
    <x v="43"/>
    <s v="MAA"/>
    <s v="CCU"/>
    <d v="2026-06-22T00:00:00"/>
    <n v="215"/>
    <x v="2"/>
    <x v="2"/>
    <n v="159"/>
    <n v="894309.39"/>
    <n v="287093.14"/>
    <n v="607216.25"/>
    <x v="2"/>
    <n v="0.8833333333333333"/>
  </r>
  <r>
    <s v="SK1297"/>
    <x v="52"/>
    <s v="BLR"/>
    <s v="SIN"/>
    <d v="2026-07-23T00:00:00"/>
    <n v="220"/>
    <x v="1"/>
    <x v="0"/>
    <n v="50"/>
    <n v="428394.08"/>
    <n v="300656.67"/>
    <n v="127737.41000000003"/>
    <x v="5"/>
    <n v="0.16666666666666666"/>
  </r>
  <r>
    <s v="SK1298"/>
    <x v="56"/>
    <s v="JFK"/>
    <s v="BOM"/>
    <d v="2026-02-25T00:00:00"/>
    <n v="425"/>
    <x v="0"/>
    <x v="0"/>
    <n v="281"/>
    <n v="3325563.79"/>
    <n v="492334.83"/>
    <n v="2833228.96"/>
    <x v="3"/>
    <n v="0.93666666666666665"/>
  </r>
  <r>
    <s v="SK1299"/>
    <x v="13"/>
    <s v="BKK"/>
    <s v="LHR"/>
    <d v="2026-01-27T00:00:00"/>
    <n v="335"/>
    <x v="1"/>
    <x v="3"/>
    <n v="238"/>
    <n v="2850813.25"/>
    <n v="481662.95"/>
    <n v="2369150.2999999998"/>
    <x v="1"/>
    <n v="0.95199999999999996"/>
  </r>
  <r>
    <s v="SK1300"/>
    <x v="31"/>
    <s v="DEL"/>
    <s v="DXB"/>
    <d v="2026-07-06T00:00:00"/>
    <n v="558"/>
    <x v="3"/>
    <x v="3"/>
    <n v="207"/>
    <n v="1397940.53"/>
    <n v="659585.99"/>
    <n v="738354.54"/>
    <x v="5"/>
    <n v="0.82799999999999996"/>
  </r>
  <r>
    <s v="SK1301"/>
    <x v="37"/>
    <s v="CCU"/>
    <s v="MAA"/>
    <d v="2026-09-13T00:00:00"/>
    <n v="294"/>
    <x v="3"/>
    <x v="3"/>
    <n v="52"/>
    <n v="545759.17000000004"/>
    <n v="449900.36"/>
    <n v="95858.810000000056"/>
    <x v="8"/>
    <n v="0.20799999999999999"/>
  </r>
  <r>
    <s v="SK1302"/>
    <x v="20"/>
    <s v="DEL"/>
    <s v="SIN"/>
    <d v="2026-03-15T00:00:00"/>
    <n v="335"/>
    <x v="1"/>
    <x v="3"/>
    <n v="136"/>
    <n v="1922793.18"/>
    <n v="510383.22"/>
    <n v="1412409.96"/>
    <x v="4"/>
    <n v="0.54400000000000004"/>
  </r>
  <r>
    <s v="SK1303"/>
    <x v="86"/>
    <s v="MAA"/>
    <s v="DXB"/>
    <d v="2026-09-03T00:00:00"/>
    <n v="172"/>
    <x v="3"/>
    <x v="0"/>
    <n v="215"/>
    <n v="2175348.21"/>
    <n v="242423.1"/>
    <n v="1932925.1099999999"/>
    <x v="8"/>
    <n v="0.71666666666666667"/>
  </r>
  <r>
    <s v="SK1304"/>
    <x v="3"/>
    <s v="JFK"/>
    <s v="SIN"/>
    <d v="2026-02-28T00:00:00"/>
    <n v="570"/>
    <x v="2"/>
    <x v="1"/>
    <n v="103"/>
    <n v="649256.23"/>
    <n v="422326.42"/>
    <n v="226929.81"/>
    <x v="3"/>
    <n v="0.68666666666666665"/>
  </r>
  <r>
    <s v="SK1305"/>
    <x v="80"/>
    <s v="CCU"/>
    <s v="DXB"/>
    <d v="2026-05-22T00:00:00"/>
    <n v="493"/>
    <x v="1"/>
    <x v="2"/>
    <n v="161"/>
    <n v="531234.74"/>
    <n v="395661.93"/>
    <n v="135572.81"/>
    <x v="6"/>
    <n v="0.89444444444444449"/>
  </r>
  <r>
    <s v="SK1306"/>
    <x v="32"/>
    <s v="BOM"/>
    <s v="CCU"/>
    <d v="2026-01-13T00:00:00"/>
    <n v="497"/>
    <x v="3"/>
    <x v="3"/>
    <n v="249"/>
    <n v="1030586.42"/>
    <n v="580181.4"/>
    <n v="450405.02"/>
    <x v="1"/>
    <n v="0.996"/>
  </r>
  <r>
    <s v="SK1307"/>
    <x v="36"/>
    <s v="JFK"/>
    <s v="LHR"/>
    <d v="2026-08-23T00:00:00"/>
    <n v="578"/>
    <x v="1"/>
    <x v="1"/>
    <n v="108"/>
    <n v="1472377.09"/>
    <n v="443566.04"/>
    <n v="1028811.05"/>
    <x v="0"/>
    <n v="0.72"/>
  </r>
  <r>
    <s v="SK1308"/>
    <x v="57"/>
    <s v="MAA"/>
    <s v="DEL"/>
    <d v="2026-08-27T00:00:00"/>
    <n v="282"/>
    <x v="0"/>
    <x v="1"/>
    <n v="57"/>
    <n v="814488.94"/>
    <n v="369164.94"/>
    <n v="445323.99999999994"/>
    <x v="0"/>
    <n v="0.38"/>
  </r>
  <r>
    <s v="SK1309"/>
    <x v="35"/>
    <s v="DXB"/>
    <s v="BLR"/>
    <d v="2026-01-11T00:00:00"/>
    <n v="157"/>
    <x v="3"/>
    <x v="3"/>
    <n v="157"/>
    <n v="787734.55"/>
    <n v="255697.11"/>
    <n v="532037.44000000006"/>
    <x v="1"/>
    <n v="0.628"/>
  </r>
  <r>
    <s v="SK1310"/>
    <x v="72"/>
    <s v="LHR"/>
    <s v="BOM"/>
    <d v="2026-05-06T00:00:00"/>
    <n v="355"/>
    <x v="1"/>
    <x v="0"/>
    <n v="200"/>
    <n v="2515903.67"/>
    <n v="408574.1"/>
    <n v="2107329.5699999998"/>
    <x v="6"/>
    <n v="0.66666666666666663"/>
  </r>
  <r>
    <s v="SK1311"/>
    <x v="55"/>
    <s v="LHR"/>
    <s v="BLR"/>
    <d v="2026-02-05T00:00:00"/>
    <n v="160"/>
    <x v="3"/>
    <x v="2"/>
    <n v="53"/>
    <n v="252442.34"/>
    <n v="208376.26"/>
    <n v="44066.079999999987"/>
    <x v="3"/>
    <n v="0.29444444444444445"/>
  </r>
  <r>
    <s v="SK1312"/>
    <x v="32"/>
    <s v="BOM"/>
    <s v="CCU"/>
    <d v="2026-07-09T00:00:00"/>
    <n v="512"/>
    <x v="1"/>
    <x v="2"/>
    <n v="59"/>
    <n v="534900.19999999995"/>
    <n v="397637.84"/>
    <n v="137262.35999999993"/>
    <x v="5"/>
    <n v="0.32777777777777778"/>
  </r>
  <r>
    <s v="SK1313"/>
    <x v="43"/>
    <s v="MAA"/>
    <s v="CCU"/>
    <d v="2026-07-03T00:00:00"/>
    <n v="285"/>
    <x v="2"/>
    <x v="2"/>
    <n v="138"/>
    <n v="1365020.22"/>
    <n v="365608.86"/>
    <n v="999411.36"/>
    <x v="5"/>
    <n v="0.76666666666666672"/>
  </r>
  <r>
    <s v="SK1314"/>
    <x v="19"/>
    <s v="BLR"/>
    <s v="BKK"/>
    <d v="2026-05-28T00:00:00"/>
    <n v="277"/>
    <x v="0"/>
    <x v="1"/>
    <n v="131"/>
    <n v="1133203.48"/>
    <n v="340709.07"/>
    <n v="792494.40999999992"/>
    <x v="6"/>
    <n v="0.87333333333333329"/>
  </r>
  <r>
    <s v="SK1315"/>
    <x v="68"/>
    <s v="BKK"/>
    <s v="CCU"/>
    <d v="2026-10-22T00:00:00"/>
    <n v="246"/>
    <x v="2"/>
    <x v="0"/>
    <n v="111"/>
    <n v="1536192.96"/>
    <n v="426237.98"/>
    <n v="1109954.98"/>
    <x v="9"/>
    <n v="0.37"/>
  </r>
  <r>
    <s v="SK1316"/>
    <x v="78"/>
    <s v="SIN"/>
    <s v="LHR"/>
    <d v="2026-04-05T00:00:00"/>
    <n v="369"/>
    <x v="1"/>
    <x v="0"/>
    <n v="88"/>
    <n v="1248532.83"/>
    <n v="526055.96"/>
    <n v="722476.87000000011"/>
    <x v="7"/>
    <n v="0.29333333333333333"/>
  </r>
  <r>
    <s v="SK1317"/>
    <x v="33"/>
    <s v="DEL"/>
    <s v="BOM"/>
    <d v="2026-09-03T00:00:00"/>
    <n v="465"/>
    <x v="1"/>
    <x v="1"/>
    <n v="87"/>
    <n v="1273603.29"/>
    <n v="493445.28"/>
    <n v="780158.01"/>
    <x v="8"/>
    <n v="0.57999999999999996"/>
  </r>
  <r>
    <s v="SK1318"/>
    <x v="14"/>
    <s v="BOM"/>
    <s v="SIN"/>
    <d v="2026-06-26T00:00:00"/>
    <n v="408"/>
    <x v="0"/>
    <x v="1"/>
    <n v="111"/>
    <n v="1649710.84"/>
    <n v="286207.78999999998"/>
    <n v="1363503.05"/>
    <x v="2"/>
    <n v="0.74"/>
  </r>
  <r>
    <s v="SK1319"/>
    <x v="77"/>
    <s v="DEL"/>
    <s v="BLR"/>
    <d v="2026-04-24T00:00:00"/>
    <n v="335"/>
    <x v="1"/>
    <x v="1"/>
    <n v="130"/>
    <n v="627195.77"/>
    <n v="349976.88"/>
    <n v="277218.89"/>
    <x v="7"/>
    <n v="0.8666666666666667"/>
  </r>
  <r>
    <s v="SK1320"/>
    <x v="81"/>
    <s v="BKK"/>
    <s v="MAA"/>
    <d v="2026-09-21T00:00:00"/>
    <n v="374"/>
    <x v="3"/>
    <x v="3"/>
    <n v="236"/>
    <n v="2378732.4"/>
    <n v="313684.74"/>
    <n v="2065047.66"/>
    <x v="8"/>
    <n v="0.94399999999999995"/>
  </r>
  <r>
    <s v="SK1321"/>
    <x v="43"/>
    <s v="MAA"/>
    <s v="CCU"/>
    <d v="2026-04-06T00:00:00"/>
    <n v="557"/>
    <x v="2"/>
    <x v="2"/>
    <n v="143"/>
    <n v="1245280.3"/>
    <n v="631448.42000000004"/>
    <n v="613831.88"/>
    <x v="7"/>
    <n v="0.7944444444444444"/>
  </r>
  <r>
    <s v="SK1322"/>
    <x v="73"/>
    <s v="BKK"/>
    <s v="JFK"/>
    <d v="2026-02-22T00:00:00"/>
    <n v="530"/>
    <x v="1"/>
    <x v="0"/>
    <n v="207"/>
    <n v="1990081.35"/>
    <n v="577564.27"/>
    <n v="1412517.08"/>
    <x v="3"/>
    <n v="0.69"/>
  </r>
  <r>
    <s v="SK1323"/>
    <x v="68"/>
    <s v="BKK"/>
    <s v="CCU"/>
    <d v="2026-09-28T00:00:00"/>
    <n v="199"/>
    <x v="2"/>
    <x v="1"/>
    <n v="127"/>
    <n v="1775407.98"/>
    <n v="200847.08"/>
    <n v="1574560.9"/>
    <x v="8"/>
    <n v="0.84666666666666668"/>
  </r>
  <r>
    <s v="SK1324"/>
    <x v="49"/>
    <s v="JFK"/>
    <s v="BKK"/>
    <d v="2026-09-30T00:00:00"/>
    <n v="540"/>
    <x v="1"/>
    <x v="2"/>
    <n v="134"/>
    <n v="1744786.04"/>
    <n v="710540.26"/>
    <n v="1034245.78"/>
    <x v="8"/>
    <n v="0.74444444444444446"/>
  </r>
  <r>
    <s v="SK1325"/>
    <x v="5"/>
    <s v="MAA"/>
    <s v="SIN"/>
    <d v="2026-08-15T00:00:00"/>
    <n v="430"/>
    <x v="0"/>
    <x v="0"/>
    <n v="98"/>
    <n v="684673.75"/>
    <n v="453426.55"/>
    <n v="231247.2"/>
    <x v="0"/>
    <n v="0.32666666666666666"/>
  </r>
  <r>
    <s v="SK1326"/>
    <x v="65"/>
    <s v="CCU"/>
    <s v="BKK"/>
    <d v="2026-01-28T00:00:00"/>
    <n v="178"/>
    <x v="2"/>
    <x v="3"/>
    <n v="117"/>
    <n v="842980.2"/>
    <n v="327751.2"/>
    <n v="515228.99999999994"/>
    <x v="1"/>
    <n v="0.46800000000000003"/>
  </r>
  <r>
    <s v="SK1327"/>
    <x v="80"/>
    <s v="CCU"/>
    <s v="DXB"/>
    <d v="2026-07-05T00:00:00"/>
    <n v="311"/>
    <x v="0"/>
    <x v="2"/>
    <n v="153"/>
    <n v="1033967.64"/>
    <n v="430443.6"/>
    <n v="603524.04"/>
    <x v="5"/>
    <n v="0.85"/>
  </r>
  <r>
    <s v="SK1328"/>
    <x v="55"/>
    <s v="LHR"/>
    <s v="BLR"/>
    <d v="2026-05-17T00:00:00"/>
    <n v="426"/>
    <x v="1"/>
    <x v="0"/>
    <n v="125"/>
    <n v="784424.99"/>
    <n v="464813.02"/>
    <n v="319611.96999999997"/>
    <x v="6"/>
    <n v="0.41666666666666669"/>
  </r>
  <r>
    <s v="SK1329"/>
    <x v="5"/>
    <s v="MAA"/>
    <s v="SIN"/>
    <d v="2026-01-10T00:00:00"/>
    <n v="270"/>
    <x v="0"/>
    <x v="0"/>
    <n v="54"/>
    <n v="236388.41"/>
    <n v="462949.72"/>
    <n v="-226561.30999999997"/>
    <x v="1"/>
    <n v="0.18"/>
  </r>
  <r>
    <s v="SK1330"/>
    <x v="47"/>
    <s v="LHR"/>
    <s v="DXB"/>
    <d v="2026-05-20T00:00:00"/>
    <n v="530"/>
    <x v="1"/>
    <x v="3"/>
    <n v="225"/>
    <n v="2540850.69"/>
    <n v="490775.91"/>
    <n v="2050074.78"/>
    <x v="6"/>
    <n v="0.9"/>
  </r>
  <r>
    <s v="SK1331"/>
    <x v="60"/>
    <s v="LHR"/>
    <s v="SIN"/>
    <d v="2026-08-02T00:00:00"/>
    <n v="528"/>
    <x v="3"/>
    <x v="1"/>
    <n v="146"/>
    <n v="642850.03"/>
    <n v="591123.81000000006"/>
    <n v="51726.219999999972"/>
    <x v="0"/>
    <n v="0.97333333333333338"/>
  </r>
  <r>
    <s v="SK1332"/>
    <x v="25"/>
    <s v="BLR"/>
    <s v="DEL"/>
    <d v="2026-03-11T00:00:00"/>
    <n v="171"/>
    <x v="1"/>
    <x v="3"/>
    <n v="245"/>
    <n v="2444366.29"/>
    <n v="223170.63"/>
    <n v="2221195.66"/>
    <x v="4"/>
    <n v="0.98"/>
  </r>
  <r>
    <s v="SK1333"/>
    <x v="44"/>
    <s v="JFK"/>
    <s v="MAA"/>
    <d v="2026-07-19T00:00:00"/>
    <n v="562"/>
    <x v="0"/>
    <x v="1"/>
    <n v="113"/>
    <n v="480640.33"/>
    <n v="582935.68999999994"/>
    <n v="-102295.35999999993"/>
    <x v="5"/>
    <n v="0.7533333333333333"/>
  </r>
  <r>
    <s v="SK1334"/>
    <x v="51"/>
    <s v="DEL"/>
    <s v="BKK"/>
    <d v="2026-08-28T00:00:00"/>
    <n v="573"/>
    <x v="2"/>
    <x v="0"/>
    <n v="237"/>
    <n v="2465588.81"/>
    <n v="782836.1"/>
    <n v="1682752.71"/>
    <x v="0"/>
    <n v="0.79"/>
  </r>
  <r>
    <s v="SK1335"/>
    <x v="76"/>
    <s v="BLR"/>
    <s v="BOM"/>
    <d v="2026-04-13T00:00:00"/>
    <n v="554"/>
    <x v="3"/>
    <x v="3"/>
    <n v="80"/>
    <n v="290654.65000000002"/>
    <n v="670361.97"/>
    <n v="-379707.31999999995"/>
    <x v="7"/>
    <n v="0.32"/>
  </r>
  <r>
    <s v="SK1336"/>
    <x v="57"/>
    <s v="MAA"/>
    <s v="DEL"/>
    <d v="2026-07-01T00:00:00"/>
    <n v="485"/>
    <x v="2"/>
    <x v="3"/>
    <n v="71"/>
    <n v="619702.54"/>
    <n v="486603.09"/>
    <n v="133099.45000000001"/>
    <x v="5"/>
    <n v="0.28399999999999997"/>
  </r>
  <r>
    <s v="SK1337"/>
    <x v="67"/>
    <s v="BLR"/>
    <s v="MAA"/>
    <d v="2026-03-19T00:00:00"/>
    <n v="488"/>
    <x v="3"/>
    <x v="3"/>
    <n v="159"/>
    <n v="825538.91"/>
    <n v="416686.97"/>
    <n v="408851.94000000006"/>
    <x v="4"/>
    <n v="0.63600000000000001"/>
  </r>
  <r>
    <s v="SK1338"/>
    <x v="46"/>
    <s v="BKK"/>
    <s v="SIN"/>
    <d v="2026-02-27T00:00:00"/>
    <n v="466"/>
    <x v="2"/>
    <x v="2"/>
    <n v="75"/>
    <n v="1068398.05"/>
    <n v="424709.86"/>
    <n v="643688.19000000006"/>
    <x v="3"/>
    <n v="0.41666666666666669"/>
  </r>
  <r>
    <s v="SK1339"/>
    <x v="54"/>
    <s v="SIN"/>
    <s v="JFK"/>
    <d v="2026-01-13T00:00:00"/>
    <n v="443"/>
    <x v="1"/>
    <x v="3"/>
    <n v="192"/>
    <n v="1987881.61"/>
    <n v="637523.31999999995"/>
    <n v="1350358.29"/>
    <x v="1"/>
    <n v="0.76800000000000002"/>
  </r>
  <r>
    <s v="SK1340"/>
    <x v="62"/>
    <s v="JFK"/>
    <s v="CCU"/>
    <d v="2026-02-13T00:00:00"/>
    <n v="376"/>
    <x v="2"/>
    <x v="1"/>
    <n v="120"/>
    <n v="727684.38"/>
    <n v="290866.12"/>
    <n v="436818.26"/>
    <x v="3"/>
    <n v="0.8"/>
  </r>
  <r>
    <s v="SK1341"/>
    <x v="14"/>
    <s v="BOM"/>
    <s v="SIN"/>
    <d v="2026-08-08T00:00:00"/>
    <n v="249"/>
    <x v="1"/>
    <x v="1"/>
    <n v="139"/>
    <n v="697563.7"/>
    <n v="352767.26"/>
    <n v="344796.43999999994"/>
    <x v="0"/>
    <n v="0.92666666666666664"/>
  </r>
  <r>
    <s v="SK1342"/>
    <x v="57"/>
    <s v="MAA"/>
    <s v="DEL"/>
    <d v="2026-09-21T00:00:00"/>
    <n v="563"/>
    <x v="1"/>
    <x v="3"/>
    <n v="152"/>
    <n v="1614995.79"/>
    <n v="654712.31999999995"/>
    <n v="960283.47000000009"/>
    <x v="8"/>
    <n v="0.60799999999999998"/>
  </r>
  <r>
    <s v="SK1343"/>
    <x v="12"/>
    <s v="MAA"/>
    <s v="LHR"/>
    <d v="2026-04-08T00:00:00"/>
    <n v="230"/>
    <x v="3"/>
    <x v="1"/>
    <n v="72"/>
    <n v="935651.27"/>
    <n v="276987.74"/>
    <n v="658663.53"/>
    <x v="7"/>
    <n v="0.48"/>
  </r>
  <r>
    <s v="SK1344"/>
    <x v="82"/>
    <s v="BOM"/>
    <s v="JFK"/>
    <d v="2026-04-06T00:00:00"/>
    <n v="516"/>
    <x v="2"/>
    <x v="2"/>
    <n v="55"/>
    <n v="379639.39"/>
    <n v="362184.11"/>
    <n v="17455.280000000028"/>
    <x v="7"/>
    <n v="0.30555555555555558"/>
  </r>
  <r>
    <s v="SK1345"/>
    <x v="31"/>
    <s v="DEL"/>
    <s v="DXB"/>
    <d v="2026-08-02T00:00:00"/>
    <n v="563"/>
    <x v="3"/>
    <x v="3"/>
    <n v="71"/>
    <n v="325808.73"/>
    <n v="557145.61"/>
    <n v="-231336.88"/>
    <x v="0"/>
    <n v="0.28399999999999997"/>
  </r>
  <r>
    <s v="SK1346"/>
    <x v="75"/>
    <s v="DXB"/>
    <s v="JFK"/>
    <d v="2026-08-21T00:00:00"/>
    <n v="142"/>
    <x v="2"/>
    <x v="3"/>
    <n v="118"/>
    <n v="789018.45"/>
    <n v="250317.98"/>
    <n v="538700.47"/>
    <x v="0"/>
    <n v="0.47199999999999998"/>
  </r>
  <r>
    <s v="SK1347"/>
    <x v="29"/>
    <s v="BLR"/>
    <s v="DXB"/>
    <d v="2026-04-04T00:00:00"/>
    <n v="434"/>
    <x v="0"/>
    <x v="1"/>
    <n v="74"/>
    <n v="809606.19"/>
    <n v="475024.14"/>
    <n v="334582.04999999993"/>
    <x v="7"/>
    <n v="0.49333333333333335"/>
  </r>
  <r>
    <s v="SK1348"/>
    <x v="12"/>
    <s v="MAA"/>
    <s v="LHR"/>
    <d v="2026-07-28T00:00:00"/>
    <n v="507"/>
    <x v="3"/>
    <x v="0"/>
    <n v="51"/>
    <n v="719995.84"/>
    <n v="552425.76"/>
    <n v="167570.07999999996"/>
    <x v="5"/>
    <n v="0.17"/>
  </r>
  <r>
    <s v="SK1349"/>
    <x v="44"/>
    <s v="JFK"/>
    <s v="MAA"/>
    <d v="2026-09-19T00:00:00"/>
    <n v="423"/>
    <x v="0"/>
    <x v="3"/>
    <n v="97"/>
    <n v="1103141.78"/>
    <n v="444313.79"/>
    <n v="658827.99"/>
    <x v="8"/>
    <n v="0.38800000000000001"/>
  </r>
  <r>
    <s v="SK1350"/>
    <x v="87"/>
    <s v="SIN"/>
    <s v="BOM"/>
    <d v="2026-03-13T00:00:00"/>
    <n v="322"/>
    <x v="0"/>
    <x v="3"/>
    <n v="168"/>
    <n v="1612535.02"/>
    <n v="297399.18"/>
    <n v="1315135.8400000001"/>
    <x v="4"/>
    <n v="0.67200000000000004"/>
  </r>
  <r>
    <s v="SK1351"/>
    <x v="50"/>
    <s v="BLR"/>
    <s v="JFK"/>
    <d v="2026-06-24T00:00:00"/>
    <n v="135"/>
    <x v="2"/>
    <x v="2"/>
    <n v="63"/>
    <n v="757866.06"/>
    <n v="162347.26999999999"/>
    <n v="595518.79"/>
    <x v="2"/>
    <n v="0.35"/>
  </r>
  <r>
    <s v="SK1352"/>
    <x v="26"/>
    <s v="BKK"/>
    <s v="DEL"/>
    <d v="2026-01-21T00:00:00"/>
    <n v="123"/>
    <x v="2"/>
    <x v="3"/>
    <n v="104"/>
    <n v="504067.08"/>
    <n v="199350.38"/>
    <n v="304716.7"/>
    <x v="1"/>
    <n v="0.41599999999999998"/>
  </r>
  <r>
    <s v="SK1353"/>
    <x v="76"/>
    <s v="BLR"/>
    <s v="BOM"/>
    <d v="2026-10-02T00:00:00"/>
    <n v="530"/>
    <x v="3"/>
    <x v="1"/>
    <n v="92"/>
    <n v="984220.95"/>
    <n v="436396.24"/>
    <n v="547824.71"/>
    <x v="9"/>
    <n v="0.61333333333333329"/>
  </r>
  <r>
    <s v="SK1354"/>
    <x v="79"/>
    <s v="DEL"/>
    <s v="CCU"/>
    <d v="2026-02-07T00:00:00"/>
    <n v="175"/>
    <x v="0"/>
    <x v="3"/>
    <n v="234"/>
    <n v="1098230.1200000001"/>
    <n v="279333.81"/>
    <n v="818896.31"/>
    <x v="3"/>
    <n v="0.93600000000000005"/>
  </r>
  <r>
    <s v="SK1355"/>
    <x v="60"/>
    <s v="LHR"/>
    <s v="SIN"/>
    <d v="2026-10-27T00:00:00"/>
    <n v="194"/>
    <x v="1"/>
    <x v="3"/>
    <n v="208"/>
    <n v="2269919.71"/>
    <n v="300466.2"/>
    <n v="1969453.51"/>
    <x v="9"/>
    <n v="0.83199999999999996"/>
  </r>
  <r>
    <s v="SK1356"/>
    <x v="58"/>
    <s v="BOM"/>
    <s v="DXB"/>
    <d v="2026-09-30T00:00:00"/>
    <n v="203"/>
    <x v="1"/>
    <x v="2"/>
    <n v="156"/>
    <n v="990172.08"/>
    <n v="209855.69"/>
    <n v="780316.3899999999"/>
    <x v="8"/>
    <n v="0.8666666666666667"/>
  </r>
  <r>
    <s v="SK1357"/>
    <x v="71"/>
    <s v="DXB"/>
    <s v="BKK"/>
    <d v="2026-02-16T00:00:00"/>
    <n v="240"/>
    <x v="3"/>
    <x v="3"/>
    <n v="179"/>
    <n v="1831105.2"/>
    <n v="330955.28000000003"/>
    <n v="1500149.92"/>
    <x v="3"/>
    <n v="0.71599999999999997"/>
  </r>
  <r>
    <s v="SK1358"/>
    <x v="82"/>
    <s v="BOM"/>
    <s v="JFK"/>
    <d v="2026-10-10T00:00:00"/>
    <n v="241"/>
    <x v="3"/>
    <x v="1"/>
    <n v="65"/>
    <n v="199215.84"/>
    <n v="195727.12"/>
    <n v="3488.7200000000012"/>
    <x v="9"/>
    <n v="0.43333333333333335"/>
  </r>
  <r>
    <s v="SK1359"/>
    <x v="55"/>
    <s v="LHR"/>
    <s v="BLR"/>
    <d v="2026-08-13T00:00:00"/>
    <n v="420"/>
    <x v="3"/>
    <x v="2"/>
    <n v="96"/>
    <n v="357054.68"/>
    <n v="338506.28"/>
    <n v="18548.399999999965"/>
    <x v="0"/>
    <n v="0.53333333333333333"/>
  </r>
  <r>
    <s v="SK1360"/>
    <x v="38"/>
    <s v="SIN"/>
    <s v="CCU"/>
    <d v="2026-03-30T00:00:00"/>
    <n v="381"/>
    <x v="1"/>
    <x v="0"/>
    <n v="122"/>
    <n v="1047253.27"/>
    <n v="344149.1"/>
    <n v="703104.17"/>
    <x v="4"/>
    <n v="0.40666666666666668"/>
  </r>
  <r>
    <s v="SK1361"/>
    <x v="7"/>
    <s v="DXB"/>
    <s v="CCU"/>
    <d v="2026-06-13T00:00:00"/>
    <n v="467"/>
    <x v="3"/>
    <x v="3"/>
    <n v="179"/>
    <n v="1962894.97"/>
    <n v="674057.46"/>
    <n v="1288837.51"/>
    <x v="2"/>
    <n v="0.71599999999999997"/>
  </r>
  <r>
    <s v="SK1362"/>
    <x v="76"/>
    <s v="BLR"/>
    <s v="BOM"/>
    <d v="2026-05-26T00:00:00"/>
    <n v="187"/>
    <x v="3"/>
    <x v="0"/>
    <n v="199"/>
    <n v="939156.12"/>
    <n v="337056.7"/>
    <n v="602099.41999999993"/>
    <x v="6"/>
    <n v="0.66333333333333333"/>
  </r>
  <r>
    <s v="SK1363"/>
    <x v="25"/>
    <s v="BLR"/>
    <s v="DEL"/>
    <d v="2026-06-13T00:00:00"/>
    <n v="207"/>
    <x v="3"/>
    <x v="2"/>
    <n v="158"/>
    <n v="989625.84"/>
    <n v="225072.46"/>
    <n v="764553.38"/>
    <x v="2"/>
    <n v="0.87777777777777777"/>
  </r>
  <r>
    <s v="SK1364"/>
    <x v="30"/>
    <s v="DEL"/>
    <s v="LHR"/>
    <d v="2026-03-28T00:00:00"/>
    <n v="201"/>
    <x v="2"/>
    <x v="3"/>
    <n v="95"/>
    <n v="438416.94"/>
    <n v="238784.74"/>
    <n v="199632.2"/>
    <x v="4"/>
    <n v="0.38"/>
  </r>
  <r>
    <s v="SK1365"/>
    <x v="34"/>
    <s v="SIN"/>
    <s v="BKK"/>
    <d v="2026-04-14T00:00:00"/>
    <n v="265"/>
    <x v="0"/>
    <x v="3"/>
    <n v="146"/>
    <n v="461886.81"/>
    <n v="317365.78000000003"/>
    <n v="144521.02999999997"/>
    <x v="7"/>
    <n v="0.58399999999999996"/>
  </r>
  <r>
    <s v="SK1366"/>
    <x v="33"/>
    <s v="DEL"/>
    <s v="BOM"/>
    <d v="2026-07-20T00:00:00"/>
    <n v="385"/>
    <x v="0"/>
    <x v="1"/>
    <n v="144"/>
    <n v="1088603.8500000001"/>
    <n v="431122.96"/>
    <n v="657480.89000000013"/>
    <x v="5"/>
    <n v="0.96"/>
  </r>
  <r>
    <s v="SK1367"/>
    <x v="51"/>
    <s v="DEL"/>
    <s v="BKK"/>
    <d v="2026-02-23T00:00:00"/>
    <n v="403"/>
    <x v="0"/>
    <x v="1"/>
    <n v="103"/>
    <n v="1388792.5"/>
    <n v="557349.99"/>
    <n v="831442.51"/>
    <x v="3"/>
    <n v="0.68666666666666665"/>
  </r>
  <r>
    <s v="SK1368"/>
    <x v="81"/>
    <s v="BKK"/>
    <s v="MAA"/>
    <d v="2026-01-08T00:00:00"/>
    <n v="88"/>
    <x v="1"/>
    <x v="3"/>
    <n v="210"/>
    <n v="2223638.5699999998"/>
    <n v="176904.87"/>
    <n v="2046733.6999999997"/>
    <x v="1"/>
    <n v="0.84"/>
  </r>
  <r>
    <s v="SK1369"/>
    <x v="85"/>
    <s v="SIN"/>
    <s v="DXB"/>
    <d v="2026-06-22T00:00:00"/>
    <n v="230"/>
    <x v="2"/>
    <x v="1"/>
    <n v="109"/>
    <n v="1330888.47"/>
    <n v="239512.3"/>
    <n v="1091376.17"/>
    <x v="2"/>
    <n v="0.72666666666666668"/>
  </r>
  <r>
    <s v="SK1370"/>
    <x v="82"/>
    <s v="BOM"/>
    <s v="JFK"/>
    <d v="2026-10-26T00:00:00"/>
    <n v="136"/>
    <x v="1"/>
    <x v="1"/>
    <n v="69"/>
    <n v="746773.92"/>
    <n v="222246.12"/>
    <n v="524527.80000000005"/>
    <x v="9"/>
    <n v="0.46"/>
  </r>
  <r>
    <s v="SK1371"/>
    <x v="32"/>
    <s v="BOM"/>
    <s v="CCU"/>
    <d v="2026-04-08T00:00:00"/>
    <n v="486"/>
    <x v="0"/>
    <x v="0"/>
    <n v="183"/>
    <n v="1103076.99"/>
    <n v="497703.66"/>
    <n v="605373.33000000007"/>
    <x v="7"/>
    <n v="0.61"/>
  </r>
  <r>
    <s v="SK1372"/>
    <x v="6"/>
    <s v="DXB"/>
    <s v="DEL"/>
    <d v="2026-06-03T00:00:00"/>
    <n v="480"/>
    <x v="3"/>
    <x v="1"/>
    <n v="137"/>
    <n v="1930233.08"/>
    <n v="642660.47"/>
    <n v="1287572.6100000001"/>
    <x v="2"/>
    <n v="0.91333333333333333"/>
  </r>
  <r>
    <s v="SK1373"/>
    <x v="79"/>
    <s v="DEL"/>
    <s v="CCU"/>
    <d v="2026-05-02T00:00:00"/>
    <n v="582"/>
    <x v="1"/>
    <x v="2"/>
    <n v="72"/>
    <n v="490736.92"/>
    <n v="617182.48"/>
    <n v="-126445.56"/>
    <x v="6"/>
    <n v="0.4"/>
  </r>
  <r>
    <s v="SK1374"/>
    <x v="60"/>
    <s v="LHR"/>
    <s v="SIN"/>
    <d v="2026-02-04T00:00:00"/>
    <n v="407"/>
    <x v="2"/>
    <x v="3"/>
    <n v="207"/>
    <n v="2958563.88"/>
    <n v="577119.43000000005"/>
    <n v="2381444.4499999997"/>
    <x v="3"/>
    <n v="0.82799999999999996"/>
  </r>
  <r>
    <s v="SK1375"/>
    <x v="12"/>
    <s v="MAA"/>
    <s v="LHR"/>
    <d v="2026-09-03T00:00:00"/>
    <n v="303"/>
    <x v="3"/>
    <x v="2"/>
    <n v="113"/>
    <n v="1442408.85"/>
    <n v="440980.89"/>
    <n v="1001427.9600000001"/>
    <x v="8"/>
    <n v="0.62777777777777777"/>
  </r>
  <r>
    <s v="SK1376"/>
    <x v="69"/>
    <s v="MAA"/>
    <s v="BLR"/>
    <d v="2026-08-18T00:00:00"/>
    <n v="572"/>
    <x v="1"/>
    <x v="1"/>
    <n v="109"/>
    <n v="539760.35"/>
    <n v="655040.02"/>
    <n v="-115279.67000000004"/>
    <x v="0"/>
    <n v="0.72666666666666668"/>
  </r>
  <r>
    <s v="SK1377"/>
    <x v="88"/>
    <s v="CCU"/>
    <s v="BLR"/>
    <d v="2026-01-08T00:00:00"/>
    <n v="351"/>
    <x v="3"/>
    <x v="0"/>
    <n v="172"/>
    <n v="1916200.85"/>
    <n v="471143.82"/>
    <n v="1445057.03"/>
    <x v="1"/>
    <n v="0.57333333333333336"/>
  </r>
  <r>
    <s v="SK1378"/>
    <x v="42"/>
    <s v="BKK"/>
    <s v="BOM"/>
    <d v="2026-01-31T00:00:00"/>
    <n v="319"/>
    <x v="2"/>
    <x v="1"/>
    <n v="88"/>
    <n v="1256184.43"/>
    <n v="403121.34"/>
    <n v="853063.08999999985"/>
    <x v="1"/>
    <n v="0.58666666666666667"/>
  </r>
  <r>
    <s v="SK1379"/>
    <x v="32"/>
    <s v="BOM"/>
    <s v="CCU"/>
    <d v="2026-01-18T00:00:00"/>
    <n v="149"/>
    <x v="2"/>
    <x v="3"/>
    <n v="248"/>
    <n v="2763189.72"/>
    <n v="233199.3"/>
    <n v="2529990.4200000004"/>
    <x v="1"/>
    <n v="0.99199999999999999"/>
  </r>
  <r>
    <s v="SK1380"/>
    <x v="76"/>
    <s v="BLR"/>
    <s v="BOM"/>
    <d v="2026-04-11T00:00:00"/>
    <n v="416"/>
    <x v="3"/>
    <x v="1"/>
    <n v="91"/>
    <n v="798555.52"/>
    <n v="518777.37"/>
    <n v="279778.15000000002"/>
    <x v="7"/>
    <n v="0.60666666666666669"/>
  </r>
  <r>
    <s v="SK1381"/>
    <x v="2"/>
    <s v="DEL"/>
    <s v="JFK"/>
    <d v="2026-08-23T00:00:00"/>
    <n v="176"/>
    <x v="0"/>
    <x v="2"/>
    <n v="166"/>
    <n v="729986.19"/>
    <n v="193658.26"/>
    <n v="536327.92999999993"/>
    <x v="0"/>
    <n v="0.92222222222222228"/>
  </r>
  <r>
    <s v="SK1382"/>
    <x v="46"/>
    <s v="BKK"/>
    <s v="SIN"/>
    <d v="2026-01-11T00:00:00"/>
    <n v="255"/>
    <x v="2"/>
    <x v="2"/>
    <n v="142"/>
    <n v="542057.78"/>
    <n v="256444.12"/>
    <n v="285613.66000000003"/>
    <x v="1"/>
    <n v="0.78888888888888886"/>
  </r>
  <r>
    <s v="SK1383"/>
    <x v="23"/>
    <s v="SIN"/>
    <s v="DEL"/>
    <d v="2026-06-16T00:00:00"/>
    <n v="471"/>
    <x v="1"/>
    <x v="0"/>
    <n v="228"/>
    <n v="2395780.56"/>
    <n v="573959.04"/>
    <n v="1821821.52"/>
    <x v="2"/>
    <n v="0.76"/>
  </r>
  <r>
    <s v="SK1384"/>
    <x v="24"/>
    <s v="BOM"/>
    <s v="BKK"/>
    <d v="2026-09-08T00:00:00"/>
    <n v="182"/>
    <x v="0"/>
    <x v="3"/>
    <n v="132"/>
    <n v="1571792.96"/>
    <n v="247106.19"/>
    <n v="1324686.77"/>
    <x v="8"/>
    <n v="0.52800000000000002"/>
  </r>
  <r>
    <s v="SK1385"/>
    <x v="20"/>
    <s v="DEL"/>
    <s v="SIN"/>
    <d v="2026-01-08T00:00:00"/>
    <n v="181"/>
    <x v="1"/>
    <x v="3"/>
    <n v="181"/>
    <n v="558929.78"/>
    <n v="218770.05"/>
    <n v="340159.73000000004"/>
    <x v="1"/>
    <n v="0.72399999999999998"/>
  </r>
  <r>
    <s v="SK1386"/>
    <x v="75"/>
    <s v="DXB"/>
    <s v="JFK"/>
    <d v="2026-01-15T00:00:00"/>
    <n v="285"/>
    <x v="2"/>
    <x v="2"/>
    <n v="162"/>
    <n v="1740992.32"/>
    <n v="241594.23999999999"/>
    <n v="1499398.08"/>
    <x v="1"/>
    <n v="0.9"/>
  </r>
  <r>
    <s v="SK1387"/>
    <x v="29"/>
    <s v="BLR"/>
    <s v="DXB"/>
    <d v="2026-06-03T00:00:00"/>
    <n v="553"/>
    <x v="1"/>
    <x v="2"/>
    <n v="170"/>
    <n v="630575.87"/>
    <n v="633880.16"/>
    <n v="-3304.2900000000373"/>
    <x v="2"/>
    <n v="0.94444444444444442"/>
  </r>
  <r>
    <s v="SK1388"/>
    <x v="72"/>
    <s v="LHR"/>
    <s v="BOM"/>
    <d v="2026-04-02T00:00:00"/>
    <n v="238"/>
    <x v="1"/>
    <x v="3"/>
    <n v="209"/>
    <n v="1855027.34"/>
    <n v="313212.79999999999"/>
    <n v="1541814.54"/>
    <x v="7"/>
    <n v="0.83599999999999997"/>
  </r>
  <r>
    <s v="SK1389"/>
    <x v="28"/>
    <s v="LHR"/>
    <s v="CCU"/>
    <d v="2026-01-06T00:00:00"/>
    <n v="491"/>
    <x v="0"/>
    <x v="2"/>
    <n v="62"/>
    <n v="312111.03999999998"/>
    <n v="353020.07"/>
    <n v="-40909.030000000028"/>
    <x v="1"/>
    <n v="0.34444444444444444"/>
  </r>
  <r>
    <s v="SK1390"/>
    <x v="58"/>
    <s v="BOM"/>
    <s v="DXB"/>
    <d v="2026-04-24T00:00:00"/>
    <n v="170"/>
    <x v="2"/>
    <x v="3"/>
    <n v="196"/>
    <n v="2922394.39"/>
    <n v="238639.79"/>
    <n v="2683754.6"/>
    <x v="7"/>
    <n v="0.78400000000000003"/>
  </r>
  <r>
    <s v="SK1391"/>
    <x v="12"/>
    <s v="MAA"/>
    <s v="LHR"/>
    <d v="2026-10-02T00:00:00"/>
    <n v="135"/>
    <x v="0"/>
    <x v="0"/>
    <n v="141"/>
    <n v="1660803.11"/>
    <n v="252665.36"/>
    <n v="1408137.75"/>
    <x v="9"/>
    <n v="0.47"/>
  </r>
  <r>
    <s v="SK1392"/>
    <x v="3"/>
    <s v="JFK"/>
    <s v="SIN"/>
    <d v="2026-03-21T00:00:00"/>
    <n v="353"/>
    <x v="2"/>
    <x v="2"/>
    <n v="136"/>
    <n v="1335877.28"/>
    <n v="281122.65000000002"/>
    <n v="1054754.6299999999"/>
    <x v="4"/>
    <n v="0.75555555555555554"/>
  </r>
  <r>
    <s v="SK1393"/>
    <x v="49"/>
    <s v="JFK"/>
    <s v="BKK"/>
    <d v="2026-03-06T00:00:00"/>
    <n v="123"/>
    <x v="0"/>
    <x v="3"/>
    <n v="156"/>
    <n v="1251225.21"/>
    <n v="217307.55"/>
    <n v="1033917.6599999999"/>
    <x v="4"/>
    <n v="0.624"/>
  </r>
  <r>
    <s v="SK1394"/>
    <x v="61"/>
    <s v="BKK"/>
    <s v="DXB"/>
    <d v="2026-03-29T00:00:00"/>
    <n v="362"/>
    <x v="1"/>
    <x v="3"/>
    <n v="219"/>
    <n v="1900116.28"/>
    <n v="316976.09000000003"/>
    <n v="1583140.19"/>
    <x v="4"/>
    <n v="0.876"/>
  </r>
  <r>
    <s v="SK1395"/>
    <x v="69"/>
    <s v="MAA"/>
    <s v="BLR"/>
    <d v="2026-06-26T00:00:00"/>
    <n v="402"/>
    <x v="1"/>
    <x v="1"/>
    <n v="141"/>
    <n v="1437014.39"/>
    <n v="420557.39"/>
    <n v="1016456.9999999999"/>
    <x v="2"/>
    <n v="0.94"/>
  </r>
  <r>
    <s v="SK1396"/>
    <x v="12"/>
    <s v="MAA"/>
    <s v="LHR"/>
    <d v="2026-03-16T00:00:00"/>
    <n v="227"/>
    <x v="0"/>
    <x v="3"/>
    <n v="166"/>
    <n v="1437525.79"/>
    <n v="253026.95"/>
    <n v="1184498.8400000001"/>
    <x v="4"/>
    <n v="0.66400000000000003"/>
  </r>
  <r>
    <s v="SK1397"/>
    <x v="10"/>
    <s v="DXB"/>
    <s v="SIN"/>
    <d v="2026-06-02T00:00:00"/>
    <n v="488"/>
    <x v="2"/>
    <x v="0"/>
    <n v="175"/>
    <n v="1736945.87"/>
    <n v="698248.93"/>
    <n v="1038696.9400000001"/>
    <x v="2"/>
    <n v="0.58333333333333337"/>
  </r>
  <r>
    <s v="SK1398"/>
    <x v="65"/>
    <s v="CCU"/>
    <s v="BKK"/>
    <d v="2026-08-24T00:00:00"/>
    <n v="498"/>
    <x v="3"/>
    <x v="2"/>
    <n v="138"/>
    <n v="1333301.55"/>
    <n v="543973.88"/>
    <n v="789327.67"/>
    <x v="0"/>
    <n v="0.76666666666666672"/>
  </r>
  <r>
    <s v="SK1399"/>
    <x v="36"/>
    <s v="JFK"/>
    <s v="LHR"/>
    <d v="2026-09-01T00:00:00"/>
    <n v="333"/>
    <x v="1"/>
    <x v="0"/>
    <n v="293"/>
    <n v="2146080.23"/>
    <n v="457488.07"/>
    <n v="1688592.16"/>
    <x v="8"/>
    <n v="0.97666666666666668"/>
  </r>
  <r>
    <s v="SK1400"/>
    <x v="89"/>
    <s v="BLR"/>
    <s v="LHR"/>
    <d v="2026-05-23T00:00:00"/>
    <n v="128"/>
    <x v="0"/>
    <x v="1"/>
    <n v="69"/>
    <n v="875790.35"/>
    <n v="218377.89"/>
    <n v="657412.46"/>
    <x v="6"/>
    <n v="0.46"/>
  </r>
  <r>
    <s v="SK1401"/>
    <x v="13"/>
    <s v="BKK"/>
    <s v="LHR"/>
    <d v="2026-04-09T00:00:00"/>
    <n v="544"/>
    <x v="2"/>
    <x v="2"/>
    <n v="169"/>
    <n v="1351180.92"/>
    <n v="497782.36"/>
    <n v="853398.55999999994"/>
    <x v="7"/>
    <n v="0.93888888888888888"/>
  </r>
  <r>
    <s v="SK1402"/>
    <x v="58"/>
    <s v="BOM"/>
    <s v="DXB"/>
    <d v="2026-05-31T00:00:00"/>
    <n v="265"/>
    <x v="3"/>
    <x v="3"/>
    <n v="246"/>
    <n v="2998814.7200000002"/>
    <n v="385802.12"/>
    <n v="2613012.6"/>
    <x v="6"/>
    <n v="0.98399999999999999"/>
  </r>
  <r>
    <s v="SK1403"/>
    <x v="27"/>
    <s v="SIN"/>
    <s v="BLR"/>
    <d v="2026-05-02T00:00:00"/>
    <n v="165"/>
    <x v="0"/>
    <x v="2"/>
    <n v="148"/>
    <n v="1203180.55"/>
    <n v="247022.75"/>
    <n v="956157.8"/>
    <x v="6"/>
    <n v="0.82222222222222219"/>
  </r>
  <r>
    <s v="SK1404"/>
    <x v="14"/>
    <s v="BOM"/>
    <s v="SIN"/>
    <d v="2026-05-24T00:00:00"/>
    <n v="443"/>
    <x v="1"/>
    <x v="1"/>
    <n v="117"/>
    <n v="1467261.46"/>
    <n v="396888.93"/>
    <n v="1070372.53"/>
    <x v="6"/>
    <n v="0.78"/>
  </r>
  <r>
    <s v="SK1405"/>
    <x v="66"/>
    <s v="CCU"/>
    <s v="JFK"/>
    <d v="2026-05-24T00:00:00"/>
    <n v="170"/>
    <x v="3"/>
    <x v="0"/>
    <n v="228"/>
    <n v="1364004.95"/>
    <n v="272716.17"/>
    <n v="1091288.78"/>
    <x v="6"/>
    <n v="0.76"/>
  </r>
  <r>
    <s v="SK1406"/>
    <x v="60"/>
    <s v="LHR"/>
    <s v="SIN"/>
    <d v="2026-02-03T00:00:00"/>
    <n v="577"/>
    <x v="1"/>
    <x v="2"/>
    <n v="78"/>
    <n v="541157.82999999996"/>
    <n v="400218.64"/>
    <n v="140939.18999999994"/>
    <x v="3"/>
    <n v="0.43333333333333335"/>
  </r>
  <r>
    <s v="SK1407"/>
    <x v="42"/>
    <s v="BKK"/>
    <s v="BOM"/>
    <d v="2026-03-19T00:00:00"/>
    <n v="80"/>
    <x v="3"/>
    <x v="0"/>
    <n v="152"/>
    <n v="1827329.07"/>
    <n v="235468.99"/>
    <n v="1591860.08"/>
    <x v="4"/>
    <n v="0.50666666666666671"/>
  </r>
  <r>
    <s v="SK1408"/>
    <x v="20"/>
    <s v="DEL"/>
    <s v="SIN"/>
    <d v="2026-07-19T00:00:00"/>
    <n v="371"/>
    <x v="3"/>
    <x v="0"/>
    <n v="84"/>
    <n v="1132027.49"/>
    <n v="379352.54"/>
    <n v="752674.95"/>
    <x v="5"/>
    <n v="0.28000000000000003"/>
  </r>
  <r>
    <s v="SK1409"/>
    <x v="79"/>
    <s v="DEL"/>
    <s v="CCU"/>
    <d v="2026-10-25T00:00:00"/>
    <n v="543"/>
    <x v="2"/>
    <x v="1"/>
    <n v="108"/>
    <n v="1107189.6200000001"/>
    <n v="521687.46"/>
    <n v="585502.16000000015"/>
    <x v="9"/>
    <n v="0.72"/>
  </r>
  <r>
    <s v="SK1410"/>
    <x v="42"/>
    <s v="BKK"/>
    <s v="BOM"/>
    <d v="2026-09-10T00:00:00"/>
    <n v="376"/>
    <x v="0"/>
    <x v="3"/>
    <n v="66"/>
    <n v="438959.56"/>
    <n v="349649.77"/>
    <n v="89309.789999999979"/>
    <x v="8"/>
    <n v="0.26400000000000001"/>
  </r>
  <r>
    <s v="SK1411"/>
    <x v="64"/>
    <s v="BOM"/>
    <s v="MAA"/>
    <d v="2026-09-04T00:00:00"/>
    <n v="446"/>
    <x v="3"/>
    <x v="3"/>
    <n v="154"/>
    <n v="706468.13"/>
    <n v="653203.59"/>
    <n v="53264.540000000037"/>
    <x v="8"/>
    <n v="0.61599999999999999"/>
  </r>
  <r>
    <s v="SK1412"/>
    <x v="27"/>
    <s v="SIN"/>
    <s v="BLR"/>
    <d v="2026-04-08T00:00:00"/>
    <n v="141"/>
    <x v="3"/>
    <x v="3"/>
    <n v="208"/>
    <n v="928232.65"/>
    <n v="236545.51"/>
    <n v="691687.14"/>
    <x v="7"/>
    <n v="0.83199999999999996"/>
  </r>
  <r>
    <s v="SK1413"/>
    <x v="50"/>
    <s v="BLR"/>
    <s v="JFK"/>
    <d v="2026-03-26T00:00:00"/>
    <n v="504"/>
    <x v="2"/>
    <x v="2"/>
    <n v="84"/>
    <n v="1154217.06"/>
    <n v="643023.93999999994"/>
    <n v="511193.12000000011"/>
    <x v="4"/>
    <n v="0.46666666666666667"/>
  </r>
  <r>
    <s v="SK1414"/>
    <x v="80"/>
    <s v="CCU"/>
    <s v="DXB"/>
    <d v="2026-03-22T00:00:00"/>
    <n v="384"/>
    <x v="2"/>
    <x v="0"/>
    <n v="241"/>
    <n v="1720788.7"/>
    <n v="356712.15"/>
    <n v="1364076.5499999998"/>
    <x v="4"/>
    <n v="0.80333333333333334"/>
  </r>
  <r>
    <s v="SK1415"/>
    <x v="45"/>
    <s v="MAA"/>
    <s v="BKK"/>
    <d v="2026-08-02T00:00:00"/>
    <n v="337"/>
    <x v="3"/>
    <x v="3"/>
    <n v="206"/>
    <n v="915538.76"/>
    <n v="309447.96000000002"/>
    <n v="606090.80000000005"/>
    <x v="0"/>
    <n v="0.82399999999999995"/>
  </r>
  <r>
    <s v="SK1416"/>
    <x v="19"/>
    <s v="BLR"/>
    <s v="BKK"/>
    <d v="2026-10-10T00:00:00"/>
    <n v="118"/>
    <x v="1"/>
    <x v="1"/>
    <n v="77"/>
    <n v="447677.52"/>
    <n v="195898.71"/>
    <n v="251778.81000000003"/>
    <x v="9"/>
    <n v="0.51333333333333331"/>
  </r>
  <r>
    <s v="SK1417"/>
    <x v="69"/>
    <s v="MAA"/>
    <s v="BLR"/>
    <d v="2026-04-23T00:00:00"/>
    <n v="288"/>
    <x v="0"/>
    <x v="3"/>
    <n v="238"/>
    <n v="2167401.46"/>
    <n v="442667.45"/>
    <n v="1724734.01"/>
    <x v="7"/>
    <n v="0.95199999999999996"/>
  </r>
  <r>
    <s v="SK1418"/>
    <x v="59"/>
    <s v="MAA"/>
    <s v="BOM"/>
    <d v="2026-09-05T00:00:00"/>
    <n v="205"/>
    <x v="3"/>
    <x v="3"/>
    <n v="89"/>
    <n v="565447.59"/>
    <n v="339788.77"/>
    <n v="225658.81999999995"/>
    <x v="8"/>
    <n v="0.35599999999999998"/>
  </r>
  <r>
    <s v="SK1419"/>
    <x v="85"/>
    <s v="SIN"/>
    <s v="DXB"/>
    <d v="2026-01-09T00:00:00"/>
    <n v="490"/>
    <x v="1"/>
    <x v="2"/>
    <n v="177"/>
    <n v="2451383.4900000002"/>
    <n v="358546.49"/>
    <n v="2092837.0000000002"/>
    <x v="1"/>
    <n v="0.98333333333333328"/>
  </r>
  <r>
    <s v="SK1420"/>
    <x v="45"/>
    <s v="MAA"/>
    <s v="BKK"/>
    <d v="2026-04-09T00:00:00"/>
    <n v="345"/>
    <x v="2"/>
    <x v="2"/>
    <n v="175"/>
    <n v="1560209.64"/>
    <n v="342232.66"/>
    <n v="1217976.98"/>
    <x v="7"/>
    <n v="0.97222222222222221"/>
  </r>
  <r>
    <s v="SK1421"/>
    <x v="69"/>
    <s v="MAA"/>
    <s v="BLR"/>
    <d v="2026-07-26T00:00:00"/>
    <n v="169"/>
    <x v="1"/>
    <x v="2"/>
    <n v="105"/>
    <n v="672345.98"/>
    <n v="213099.18"/>
    <n v="459246.8"/>
    <x v="5"/>
    <n v="0.58333333333333337"/>
  </r>
  <r>
    <s v="SK1422"/>
    <x v="3"/>
    <s v="JFK"/>
    <s v="SIN"/>
    <d v="2026-06-28T00:00:00"/>
    <n v="278"/>
    <x v="2"/>
    <x v="1"/>
    <n v="65"/>
    <n v="326671.8"/>
    <n v="380177.28"/>
    <n v="-53505.48000000004"/>
    <x v="2"/>
    <n v="0.43333333333333335"/>
  </r>
  <r>
    <s v="SK1423"/>
    <x v="74"/>
    <s v="LHR"/>
    <s v="BKK"/>
    <d v="2026-06-30T00:00:00"/>
    <n v="386"/>
    <x v="1"/>
    <x v="3"/>
    <n v="211"/>
    <n v="1587700.55"/>
    <n v="424275.25"/>
    <n v="1163425.3"/>
    <x v="2"/>
    <n v="0.84399999999999997"/>
  </r>
  <r>
    <s v="SK1424"/>
    <x v="15"/>
    <s v="JFK"/>
    <s v="DXB"/>
    <d v="2026-05-30T00:00:00"/>
    <n v="399"/>
    <x v="2"/>
    <x v="2"/>
    <n v="107"/>
    <n v="433281.31"/>
    <n v="394897.54"/>
    <n v="38383.770000000019"/>
    <x v="6"/>
    <n v="0.59444444444444444"/>
  </r>
  <r>
    <s v="SK1425"/>
    <x v="71"/>
    <s v="DXB"/>
    <s v="BKK"/>
    <d v="2026-02-05T00:00:00"/>
    <n v="278"/>
    <x v="2"/>
    <x v="1"/>
    <n v="110"/>
    <n v="994868.96"/>
    <n v="375352.71"/>
    <n v="619516.25"/>
    <x v="3"/>
    <n v="0.73333333333333328"/>
  </r>
  <r>
    <s v="SK1426"/>
    <x v="87"/>
    <s v="SIN"/>
    <s v="BOM"/>
    <d v="2026-02-03T00:00:00"/>
    <n v="228"/>
    <x v="2"/>
    <x v="3"/>
    <n v="120"/>
    <n v="1637955.27"/>
    <n v="338819.18"/>
    <n v="1299136.0900000001"/>
    <x v="3"/>
    <n v="0.48"/>
  </r>
  <r>
    <s v="SK1427"/>
    <x v="50"/>
    <s v="BLR"/>
    <s v="JFK"/>
    <d v="2026-01-10T00:00:00"/>
    <n v="149"/>
    <x v="3"/>
    <x v="2"/>
    <n v="175"/>
    <n v="1032860.21"/>
    <n v="208931.54"/>
    <n v="823928.66999999993"/>
    <x v="1"/>
    <n v="0.97222222222222221"/>
  </r>
  <r>
    <s v="SK1428"/>
    <x v="16"/>
    <s v="CCU"/>
    <s v="DEL"/>
    <d v="2026-07-06T00:00:00"/>
    <n v="557"/>
    <x v="3"/>
    <x v="2"/>
    <n v="176"/>
    <n v="760030.9"/>
    <n v="713048.38"/>
    <n v="46982.520000000019"/>
    <x v="5"/>
    <n v="0.97777777777777775"/>
  </r>
  <r>
    <s v="SK1429"/>
    <x v="38"/>
    <s v="SIN"/>
    <s v="CCU"/>
    <d v="2026-04-11T00:00:00"/>
    <n v="235"/>
    <x v="0"/>
    <x v="1"/>
    <n v="87"/>
    <n v="472043.97"/>
    <n v="282233.15999999997"/>
    <n v="189810.81"/>
    <x v="7"/>
    <n v="0.57999999999999996"/>
  </r>
  <r>
    <s v="SK1430"/>
    <x v="89"/>
    <s v="BLR"/>
    <s v="LHR"/>
    <d v="2026-05-17T00:00:00"/>
    <n v="396"/>
    <x v="2"/>
    <x v="1"/>
    <n v="99"/>
    <n v="1444408.8"/>
    <n v="330046.2"/>
    <n v="1114362.6000000001"/>
    <x v="6"/>
    <n v="0.66"/>
  </r>
  <r>
    <s v="SK1431"/>
    <x v="29"/>
    <s v="BLR"/>
    <s v="DXB"/>
    <d v="2026-02-11T00:00:00"/>
    <n v="555"/>
    <x v="1"/>
    <x v="1"/>
    <n v="94"/>
    <n v="651801.49"/>
    <n v="497053.96"/>
    <n v="154747.52999999997"/>
    <x v="3"/>
    <n v="0.62666666666666671"/>
  </r>
  <r>
    <s v="SK1432"/>
    <x v="38"/>
    <s v="SIN"/>
    <s v="CCU"/>
    <d v="2026-03-20T00:00:00"/>
    <n v="214"/>
    <x v="0"/>
    <x v="0"/>
    <n v="278"/>
    <n v="3745079.95"/>
    <n v="270048.96999999997"/>
    <n v="3475030.9800000004"/>
    <x v="4"/>
    <n v="0.92666666666666664"/>
  </r>
  <r>
    <s v="SK1433"/>
    <x v="88"/>
    <s v="CCU"/>
    <s v="BLR"/>
    <d v="2026-06-30T00:00:00"/>
    <n v="190"/>
    <x v="3"/>
    <x v="1"/>
    <n v="91"/>
    <n v="877485.92"/>
    <n v="209797.86"/>
    <n v="667688.06000000006"/>
    <x v="2"/>
    <n v="0.60666666666666669"/>
  </r>
  <r>
    <s v="SK1434"/>
    <x v="43"/>
    <s v="MAA"/>
    <s v="CCU"/>
    <d v="2026-07-19T00:00:00"/>
    <n v="367"/>
    <x v="1"/>
    <x v="1"/>
    <n v="56"/>
    <n v="395956.04"/>
    <n v="398406.57"/>
    <n v="-2450.5300000000279"/>
    <x v="5"/>
    <n v="0.37333333333333335"/>
  </r>
  <r>
    <s v="SK1435"/>
    <x v="88"/>
    <s v="CCU"/>
    <s v="BLR"/>
    <d v="2026-05-24T00:00:00"/>
    <n v="501"/>
    <x v="1"/>
    <x v="1"/>
    <n v="141"/>
    <n v="1470693.7"/>
    <n v="493939.20000000001"/>
    <n v="976754.5"/>
    <x v="6"/>
    <n v="0.94"/>
  </r>
  <r>
    <s v="SK1436"/>
    <x v="59"/>
    <s v="MAA"/>
    <s v="BOM"/>
    <d v="2026-01-26T00:00:00"/>
    <n v="180"/>
    <x v="2"/>
    <x v="0"/>
    <n v="112"/>
    <n v="478632.79"/>
    <n v="306950.96000000002"/>
    <n v="171681.82999999996"/>
    <x v="1"/>
    <n v="0.37333333333333335"/>
  </r>
  <r>
    <s v="SK1437"/>
    <x v="88"/>
    <s v="CCU"/>
    <s v="BLR"/>
    <d v="2026-09-26T00:00:00"/>
    <n v="341"/>
    <x v="2"/>
    <x v="0"/>
    <n v="97"/>
    <n v="292098.14"/>
    <n v="329872.57"/>
    <n v="-37774.429999999993"/>
    <x v="8"/>
    <n v="0.32333333333333331"/>
  </r>
  <r>
    <s v="SK1438"/>
    <x v="10"/>
    <s v="DXB"/>
    <s v="SIN"/>
    <d v="2026-07-02T00:00:00"/>
    <n v="327"/>
    <x v="1"/>
    <x v="2"/>
    <n v="149"/>
    <n v="1194904.51"/>
    <n v="324324.59000000003"/>
    <n v="870579.91999999993"/>
    <x v="5"/>
    <n v="0.82777777777777772"/>
  </r>
  <r>
    <s v="SK1439"/>
    <x v="32"/>
    <s v="BOM"/>
    <s v="CCU"/>
    <d v="2026-02-20T00:00:00"/>
    <n v="130"/>
    <x v="1"/>
    <x v="0"/>
    <n v="68"/>
    <n v="481443.58"/>
    <n v="294138.12"/>
    <n v="187305.46000000002"/>
    <x v="3"/>
    <n v="0.22666666666666666"/>
  </r>
  <r>
    <s v="SK1440"/>
    <x v="84"/>
    <s v="MAA"/>
    <s v="JFK"/>
    <d v="2026-06-30T00:00:00"/>
    <n v="352"/>
    <x v="2"/>
    <x v="3"/>
    <n v="180"/>
    <n v="964411.85"/>
    <n v="353174.18"/>
    <n v="611237.66999999993"/>
    <x v="2"/>
    <n v="0.72"/>
  </r>
  <r>
    <s v="SK1441"/>
    <x v="15"/>
    <s v="JFK"/>
    <s v="DXB"/>
    <d v="2026-04-29T00:00:00"/>
    <n v="585"/>
    <x v="0"/>
    <x v="2"/>
    <n v="59"/>
    <n v="835556.96"/>
    <n v="598547.28"/>
    <n v="237009.67999999993"/>
    <x v="7"/>
    <n v="0.32777777777777778"/>
  </r>
  <r>
    <s v="SK1442"/>
    <x v="43"/>
    <s v="MAA"/>
    <s v="CCU"/>
    <d v="2026-09-14T00:00:00"/>
    <n v="575"/>
    <x v="3"/>
    <x v="1"/>
    <n v="147"/>
    <n v="1110856.78"/>
    <n v="610920.68000000005"/>
    <n v="499936.1"/>
    <x v="8"/>
    <n v="0.98"/>
  </r>
  <r>
    <s v="SK1443"/>
    <x v="78"/>
    <s v="SIN"/>
    <s v="LHR"/>
    <d v="2026-09-19T00:00:00"/>
    <n v="451"/>
    <x v="2"/>
    <x v="3"/>
    <n v="60"/>
    <n v="628833.29"/>
    <n v="540699.52"/>
    <n v="88133.770000000019"/>
    <x v="8"/>
    <n v="0.24"/>
  </r>
  <r>
    <s v="SK1444"/>
    <x v="7"/>
    <s v="DXB"/>
    <s v="CCU"/>
    <d v="2026-07-31T00:00:00"/>
    <n v="171"/>
    <x v="1"/>
    <x v="0"/>
    <n v="270"/>
    <n v="2059193.55"/>
    <n v="296150.28999999998"/>
    <n v="1763043.26"/>
    <x v="5"/>
    <n v="0.9"/>
  </r>
  <r>
    <s v="SK1445"/>
    <x v="76"/>
    <s v="BLR"/>
    <s v="BOM"/>
    <d v="2026-01-20T00:00:00"/>
    <n v="275"/>
    <x v="0"/>
    <x v="3"/>
    <n v="186"/>
    <n v="1289837.07"/>
    <n v="404397.99"/>
    <n v="885439.08000000007"/>
    <x v="1"/>
    <n v="0.74399999999999999"/>
  </r>
  <r>
    <s v="SK1446"/>
    <x v="27"/>
    <s v="SIN"/>
    <s v="BLR"/>
    <d v="2026-08-30T00:00:00"/>
    <n v="353"/>
    <x v="1"/>
    <x v="3"/>
    <n v="59"/>
    <n v="653311.24"/>
    <n v="384838.65"/>
    <n v="268472.58999999997"/>
    <x v="0"/>
    <n v="0.23599999999999999"/>
  </r>
  <r>
    <s v="SK1447"/>
    <x v="44"/>
    <s v="JFK"/>
    <s v="MAA"/>
    <d v="2026-10-25T00:00:00"/>
    <n v="342"/>
    <x v="3"/>
    <x v="2"/>
    <n v="81"/>
    <n v="1196708.48"/>
    <n v="372621.04"/>
    <n v="824087.44"/>
    <x v="9"/>
    <n v="0.45"/>
  </r>
  <r>
    <s v="SK1448"/>
    <x v="54"/>
    <s v="SIN"/>
    <s v="JFK"/>
    <d v="2026-10-16T00:00:00"/>
    <n v="272"/>
    <x v="3"/>
    <x v="2"/>
    <n v="133"/>
    <n v="1115729.31"/>
    <n v="335977.53"/>
    <n v="779751.78"/>
    <x v="9"/>
    <n v="0.73888888888888893"/>
  </r>
  <r>
    <s v="SK1449"/>
    <x v="89"/>
    <s v="BLR"/>
    <s v="LHR"/>
    <d v="2026-06-26T00:00:00"/>
    <n v="198"/>
    <x v="3"/>
    <x v="2"/>
    <n v="62"/>
    <n v="707444.08"/>
    <n v="228529.52"/>
    <n v="478914.55999999994"/>
    <x v="2"/>
    <n v="0.34444444444444444"/>
  </r>
  <r>
    <s v="SK1450"/>
    <x v="14"/>
    <s v="BOM"/>
    <s v="SIN"/>
    <d v="2026-07-27T00:00:00"/>
    <n v="199"/>
    <x v="1"/>
    <x v="2"/>
    <n v="102"/>
    <n v="444678.72"/>
    <n v="213447.42"/>
    <n v="231231.29999999996"/>
    <x v="5"/>
    <n v="0.56666666666666665"/>
  </r>
  <r>
    <s v="SK1451"/>
    <x v="64"/>
    <s v="BOM"/>
    <s v="MAA"/>
    <d v="2026-09-07T00:00:00"/>
    <n v="314"/>
    <x v="1"/>
    <x v="2"/>
    <n v="157"/>
    <n v="2286582.9"/>
    <n v="329861.56"/>
    <n v="1956721.3399999999"/>
    <x v="8"/>
    <n v="0.87222222222222223"/>
  </r>
  <r>
    <s v="SK1452"/>
    <x v="14"/>
    <s v="BOM"/>
    <s v="SIN"/>
    <d v="2026-09-11T00:00:00"/>
    <n v="247"/>
    <x v="2"/>
    <x v="0"/>
    <n v="64"/>
    <n v="867715.39"/>
    <n v="385657.28"/>
    <n v="482058.11"/>
    <x v="8"/>
    <n v="0.21333333333333335"/>
  </r>
  <r>
    <s v="SK1453"/>
    <x v="17"/>
    <s v="LHR"/>
    <s v="JFK"/>
    <d v="2026-05-07T00:00:00"/>
    <n v="99"/>
    <x v="1"/>
    <x v="0"/>
    <n v="148"/>
    <n v="978516.18"/>
    <n v="212254.3"/>
    <n v="766261.88000000012"/>
    <x v="6"/>
    <n v="0.49333333333333335"/>
  </r>
  <r>
    <s v="SK1454"/>
    <x v="73"/>
    <s v="BKK"/>
    <s v="JFK"/>
    <d v="2026-05-31T00:00:00"/>
    <n v="280"/>
    <x v="2"/>
    <x v="0"/>
    <n v="286"/>
    <n v="1365793"/>
    <n v="482992.28"/>
    <n v="882800.72"/>
    <x v="6"/>
    <n v="0.95333333333333337"/>
  </r>
  <r>
    <s v="SK1455"/>
    <x v="33"/>
    <s v="DEL"/>
    <s v="BOM"/>
    <d v="2026-10-27T00:00:00"/>
    <n v="416"/>
    <x v="1"/>
    <x v="0"/>
    <n v="146"/>
    <n v="589909.91"/>
    <n v="514771.34"/>
    <n v="75138.570000000007"/>
    <x v="9"/>
    <n v="0.48666666666666669"/>
  </r>
  <r>
    <s v="SK1456"/>
    <x v="14"/>
    <s v="BOM"/>
    <s v="SIN"/>
    <d v="2026-04-13T00:00:00"/>
    <n v="424"/>
    <x v="1"/>
    <x v="2"/>
    <n v="127"/>
    <n v="532225.9"/>
    <n v="429221.62"/>
    <n v="103004.28000000003"/>
    <x v="7"/>
    <n v="0.7055555555555556"/>
  </r>
  <r>
    <s v="SK1457"/>
    <x v="5"/>
    <s v="MAA"/>
    <s v="SIN"/>
    <d v="2026-05-23T00:00:00"/>
    <n v="458"/>
    <x v="2"/>
    <x v="1"/>
    <n v="132"/>
    <n v="779735.34"/>
    <n v="369238.25"/>
    <n v="410497.08999999997"/>
    <x v="6"/>
    <n v="0.88"/>
  </r>
  <r>
    <s v="SK1458"/>
    <x v="65"/>
    <s v="CCU"/>
    <s v="BKK"/>
    <d v="2026-04-11T00:00:00"/>
    <n v="580"/>
    <x v="2"/>
    <x v="1"/>
    <n v="67"/>
    <n v="796658.89"/>
    <n v="585284.77"/>
    <n v="211374.12"/>
    <x v="7"/>
    <n v="0.44666666666666666"/>
  </r>
  <r>
    <s v="SK1459"/>
    <x v="27"/>
    <s v="SIN"/>
    <s v="BLR"/>
    <d v="2026-07-26T00:00:00"/>
    <n v="87"/>
    <x v="3"/>
    <x v="0"/>
    <n v="125"/>
    <n v="720579.96"/>
    <n v="211114.95"/>
    <n v="509465.00999999995"/>
    <x v="5"/>
    <n v="0.41666666666666669"/>
  </r>
  <r>
    <s v="SK1460"/>
    <x v="75"/>
    <s v="DXB"/>
    <s v="JFK"/>
    <d v="2026-06-19T00:00:00"/>
    <n v="149"/>
    <x v="2"/>
    <x v="2"/>
    <n v="87"/>
    <n v="1091669.28"/>
    <n v="172581.47"/>
    <n v="919087.81"/>
    <x v="2"/>
    <n v="0.48333333333333334"/>
  </r>
  <r>
    <s v="SK1461"/>
    <x v="80"/>
    <s v="CCU"/>
    <s v="DXB"/>
    <d v="2026-08-27T00:00:00"/>
    <n v="426"/>
    <x v="1"/>
    <x v="0"/>
    <n v="100"/>
    <n v="917387.52"/>
    <n v="618508.30000000005"/>
    <n v="298879.21999999997"/>
    <x v="0"/>
    <n v="0.33333333333333331"/>
  </r>
  <r>
    <s v="SK1462"/>
    <x v="61"/>
    <s v="BKK"/>
    <s v="DXB"/>
    <d v="2026-07-14T00:00:00"/>
    <n v="273"/>
    <x v="2"/>
    <x v="2"/>
    <n v="163"/>
    <n v="2176949.02"/>
    <n v="318335"/>
    <n v="1858614.02"/>
    <x v="5"/>
    <n v="0.90555555555555556"/>
  </r>
  <r>
    <s v="SK1463"/>
    <x v="71"/>
    <s v="DXB"/>
    <s v="BKK"/>
    <d v="2026-03-25T00:00:00"/>
    <n v="266"/>
    <x v="0"/>
    <x v="0"/>
    <n v="65"/>
    <n v="594839.89"/>
    <n v="337161.27"/>
    <n v="257678.62"/>
    <x v="4"/>
    <n v="0.21666666666666667"/>
  </r>
  <r>
    <s v="SK1464"/>
    <x v="4"/>
    <s v="BOM"/>
    <s v="LHR"/>
    <d v="2026-01-19T00:00:00"/>
    <n v="424"/>
    <x v="1"/>
    <x v="3"/>
    <n v="221"/>
    <n v="862699.4"/>
    <n v="448553.01"/>
    <n v="414146.39"/>
    <x v="1"/>
    <n v="0.88400000000000001"/>
  </r>
  <r>
    <s v="SK1465"/>
    <x v="8"/>
    <s v="DXB"/>
    <s v="MAA"/>
    <d v="2026-01-10T00:00:00"/>
    <n v="417"/>
    <x v="0"/>
    <x v="0"/>
    <n v="177"/>
    <n v="637572.43999999994"/>
    <n v="386725.14"/>
    <n v="250847.29999999993"/>
    <x v="1"/>
    <n v="0.59"/>
  </r>
  <r>
    <s v="SK1466"/>
    <x v="77"/>
    <s v="DEL"/>
    <s v="BLR"/>
    <d v="2026-03-10T00:00:00"/>
    <n v="117"/>
    <x v="2"/>
    <x v="2"/>
    <n v="101"/>
    <n v="1037346.94"/>
    <n v="183582.01"/>
    <n v="853764.92999999993"/>
    <x v="4"/>
    <n v="0.56111111111111112"/>
  </r>
  <r>
    <s v="SK1467"/>
    <x v="49"/>
    <s v="JFK"/>
    <s v="BKK"/>
    <d v="2026-10-19T00:00:00"/>
    <n v="437"/>
    <x v="1"/>
    <x v="2"/>
    <n v="144"/>
    <n v="1965469.6"/>
    <n v="581954.26"/>
    <n v="1383515.34"/>
    <x v="9"/>
    <n v="0.8"/>
  </r>
  <r>
    <s v="SK1468"/>
    <x v="9"/>
    <s v="BOM"/>
    <s v="BLR"/>
    <d v="2026-01-25T00:00:00"/>
    <n v="215"/>
    <x v="2"/>
    <x v="0"/>
    <n v="70"/>
    <n v="697056.84"/>
    <n v="300023.82"/>
    <n v="397033.01999999996"/>
    <x v="1"/>
    <n v="0.23333333333333334"/>
  </r>
  <r>
    <s v="SK1469"/>
    <x v="21"/>
    <s v="LHR"/>
    <s v="MAA"/>
    <d v="2026-02-09T00:00:00"/>
    <n v="382"/>
    <x v="2"/>
    <x v="3"/>
    <n v="104"/>
    <n v="404769.59"/>
    <n v="346848.01"/>
    <n v="57921.580000000016"/>
    <x v="3"/>
    <n v="0.41599999999999998"/>
  </r>
  <r>
    <s v="SK1470"/>
    <x v="73"/>
    <s v="BKK"/>
    <s v="JFK"/>
    <d v="2026-03-28T00:00:00"/>
    <n v="260"/>
    <x v="2"/>
    <x v="1"/>
    <n v="115"/>
    <n v="1638942.9"/>
    <n v="328706.27"/>
    <n v="1310236.6299999999"/>
    <x v="4"/>
    <n v="0.76666666666666672"/>
  </r>
  <r>
    <s v="SK1471"/>
    <x v="17"/>
    <s v="LHR"/>
    <s v="JFK"/>
    <d v="2026-01-19T00:00:00"/>
    <n v="588"/>
    <x v="2"/>
    <x v="3"/>
    <n v="166"/>
    <n v="2402039.5499999998"/>
    <n v="516432.02"/>
    <n v="1885607.5299999998"/>
    <x v="1"/>
    <n v="0.66400000000000003"/>
  </r>
  <r>
    <s v="SK1472"/>
    <x v="35"/>
    <s v="DXB"/>
    <s v="BLR"/>
    <d v="2026-07-15T00:00:00"/>
    <n v="344"/>
    <x v="2"/>
    <x v="0"/>
    <n v="100"/>
    <n v="424507.61"/>
    <n v="393137.63"/>
    <n v="31369.979999999981"/>
    <x v="5"/>
    <n v="0.33333333333333331"/>
  </r>
  <r>
    <s v="SK1473"/>
    <x v="28"/>
    <s v="LHR"/>
    <s v="CCU"/>
    <d v="2026-10-06T00:00:00"/>
    <n v="268"/>
    <x v="2"/>
    <x v="3"/>
    <n v="81"/>
    <n v="662716.5"/>
    <n v="405661.9"/>
    <n v="257054.59999999998"/>
    <x v="9"/>
    <n v="0.32400000000000001"/>
  </r>
  <r>
    <s v="SK1474"/>
    <x v="51"/>
    <s v="DEL"/>
    <s v="BKK"/>
    <d v="2026-04-19T00:00:00"/>
    <n v="581"/>
    <x v="0"/>
    <x v="3"/>
    <n v="108"/>
    <n v="564289.87"/>
    <n v="489545.07"/>
    <n v="74744.799999999988"/>
    <x v="7"/>
    <n v="0.432"/>
  </r>
  <r>
    <s v="SK1475"/>
    <x v="22"/>
    <s v="CCU"/>
    <s v="BOM"/>
    <d v="2026-03-23T00:00:00"/>
    <n v="487"/>
    <x v="1"/>
    <x v="2"/>
    <n v="120"/>
    <n v="919826.51"/>
    <n v="378298.48"/>
    <n v="541528.03"/>
    <x v="4"/>
    <n v="0.66666666666666663"/>
  </r>
  <r>
    <s v="SK1476"/>
    <x v="37"/>
    <s v="CCU"/>
    <s v="MAA"/>
    <d v="2026-08-08T00:00:00"/>
    <n v="217"/>
    <x v="1"/>
    <x v="3"/>
    <n v="241"/>
    <n v="2005425.89"/>
    <n v="282259.45"/>
    <n v="1723166.44"/>
    <x v="0"/>
    <n v="0.96399999999999997"/>
  </r>
  <r>
    <s v="SK1477"/>
    <x v="51"/>
    <s v="DEL"/>
    <s v="BKK"/>
    <d v="2026-05-15T00:00:00"/>
    <n v="410"/>
    <x v="1"/>
    <x v="2"/>
    <n v="157"/>
    <n v="833213.92"/>
    <n v="383817.76"/>
    <n v="449396.16000000003"/>
    <x v="6"/>
    <n v="0.87222222222222223"/>
  </r>
  <r>
    <s v="SK1478"/>
    <x v="11"/>
    <s v="BLR"/>
    <s v="CCU"/>
    <d v="2026-10-24T00:00:00"/>
    <n v="538"/>
    <x v="0"/>
    <x v="0"/>
    <n v="300"/>
    <n v="1218882.02"/>
    <n v="673910.1"/>
    <n v="544971.92000000004"/>
    <x v="9"/>
    <n v="1"/>
  </r>
  <r>
    <s v="SK1479"/>
    <x v="4"/>
    <s v="BOM"/>
    <s v="LHR"/>
    <d v="2026-09-28T00:00:00"/>
    <n v="137"/>
    <x v="3"/>
    <x v="2"/>
    <n v="150"/>
    <n v="1278592.29"/>
    <n v="179366.68"/>
    <n v="1099225.6100000001"/>
    <x v="8"/>
    <n v="0.83333333333333337"/>
  </r>
  <r>
    <s v="SK1480"/>
    <x v="3"/>
    <s v="JFK"/>
    <s v="SIN"/>
    <d v="2026-05-25T00:00:00"/>
    <n v="578"/>
    <x v="2"/>
    <x v="0"/>
    <n v="115"/>
    <n v="518388.02"/>
    <n v="556223.93999999994"/>
    <n v="-37835.919999999925"/>
    <x v="6"/>
    <n v="0.38333333333333336"/>
  </r>
  <r>
    <s v="SK1481"/>
    <x v="54"/>
    <s v="SIN"/>
    <s v="JFK"/>
    <d v="2026-07-30T00:00:00"/>
    <n v="336"/>
    <x v="1"/>
    <x v="2"/>
    <n v="53"/>
    <n v="713328.62"/>
    <n v="356394.93"/>
    <n v="356933.69"/>
    <x v="5"/>
    <n v="0.29444444444444445"/>
  </r>
  <r>
    <s v="SK1482"/>
    <x v="39"/>
    <s v="LHR"/>
    <s v="DEL"/>
    <d v="2026-05-21T00:00:00"/>
    <n v="321"/>
    <x v="2"/>
    <x v="0"/>
    <n v="281"/>
    <n v="1626666.44"/>
    <n v="453326.51"/>
    <n v="1173339.93"/>
    <x v="6"/>
    <n v="0.93666666666666665"/>
  </r>
  <r>
    <s v="SK1483"/>
    <x v="63"/>
    <s v="DXB"/>
    <s v="BOM"/>
    <d v="2026-01-22T00:00:00"/>
    <n v="426"/>
    <x v="0"/>
    <x v="3"/>
    <n v="116"/>
    <n v="757132.13"/>
    <n v="471094.52"/>
    <n v="286037.61"/>
    <x v="1"/>
    <n v="0.46400000000000002"/>
  </r>
  <r>
    <s v="SK1484"/>
    <x v="77"/>
    <s v="DEL"/>
    <s v="BLR"/>
    <d v="2026-09-25T00:00:00"/>
    <n v="584"/>
    <x v="1"/>
    <x v="2"/>
    <n v="146"/>
    <n v="1133174.8999999999"/>
    <n v="558278.85"/>
    <n v="574896.04999999993"/>
    <x v="8"/>
    <n v="0.81111111111111112"/>
  </r>
  <r>
    <s v="SK1485"/>
    <x v="59"/>
    <s v="MAA"/>
    <s v="BOM"/>
    <d v="2026-07-03T00:00:00"/>
    <n v="175"/>
    <x v="3"/>
    <x v="3"/>
    <n v="249"/>
    <n v="827918.43"/>
    <n v="267535.34999999998"/>
    <n v="560383.08000000007"/>
    <x v="5"/>
    <n v="0.996"/>
  </r>
  <r>
    <s v="SK1486"/>
    <x v="88"/>
    <s v="CCU"/>
    <s v="BLR"/>
    <d v="2026-07-18T00:00:00"/>
    <n v="454"/>
    <x v="3"/>
    <x v="1"/>
    <n v="72"/>
    <n v="307768.75"/>
    <n v="548573.79"/>
    <n v="-240805.04000000004"/>
    <x v="5"/>
    <n v="0.48"/>
  </r>
  <r>
    <s v="SK1487"/>
    <x v="41"/>
    <s v="BKK"/>
    <s v="BLR"/>
    <d v="2026-02-21T00:00:00"/>
    <n v="348"/>
    <x v="3"/>
    <x v="2"/>
    <n v="67"/>
    <n v="714726.27"/>
    <n v="283840.53999999998"/>
    <n v="430885.73000000004"/>
    <x v="3"/>
    <n v="0.37222222222222223"/>
  </r>
  <r>
    <s v="SK1488"/>
    <x v="38"/>
    <s v="SIN"/>
    <s v="CCU"/>
    <d v="2026-06-18T00:00:00"/>
    <n v="523"/>
    <x v="0"/>
    <x v="1"/>
    <n v="141"/>
    <n v="1891655.31"/>
    <n v="639698.85"/>
    <n v="1251956.46"/>
    <x v="2"/>
    <n v="0.94"/>
  </r>
  <r>
    <s v="SK1489"/>
    <x v="86"/>
    <s v="MAA"/>
    <s v="DXB"/>
    <d v="2026-08-14T00:00:00"/>
    <n v="283"/>
    <x v="3"/>
    <x v="0"/>
    <n v="144"/>
    <n v="1420713.15"/>
    <n v="476198.17"/>
    <n v="944514.98"/>
    <x v="0"/>
    <n v="0.48"/>
  </r>
  <r>
    <s v="SK1490"/>
    <x v="16"/>
    <s v="CCU"/>
    <s v="DEL"/>
    <d v="2026-01-11T00:00:00"/>
    <n v="156"/>
    <x v="3"/>
    <x v="2"/>
    <n v="70"/>
    <n v="552632.59"/>
    <n v="205977.84"/>
    <n v="346654.75"/>
    <x v="1"/>
    <n v="0.3888888888888889"/>
  </r>
  <r>
    <s v="SK1491"/>
    <x v="75"/>
    <s v="DXB"/>
    <s v="JFK"/>
    <d v="2026-10-18T00:00:00"/>
    <n v="471"/>
    <x v="0"/>
    <x v="1"/>
    <n v="74"/>
    <n v="889593.59"/>
    <n v="504484.17"/>
    <n v="385109.42"/>
    <x v="9"/>
    <n v="0.49333333333333335"/>
  </r>
  <r>
    <s v="SK1492"/>
    <x v="42"/>
    <s v="BKK"/>
    <s v="BOM"/>
    <d v="2026-09-22T00:00:00"/>
    <n v="317"/>
    <x v="3"/>
    <x v="0"/>
    <n v="279"/>
    <n v="3945803.92"/>
    <n v="450757.01"/>
    <n v="3495046.91"/>
    <x v="8"/>
    <n v="0.93"/>
  </r>
  <r>
    <s v="SK1493"/>
    <x v="46"/>
    <s v="BKK"/>
    <s v="SIN"/>
    <d v="2026-08-06T00:00:00"/>
    <n v="405"/>
    <x v="3"/>
    <x v="3"/>
    <n v="75"/>
    <n v="509101.63"/>
    <n v="363008.72"/>
    <n v="146092.91000000003"/>
    <x v="0"/>
    <n v="0.3"/>
  </r>
  <r>
    <s v="SK1494"/>
    <x v="47"/>
    <s v="LHR"/>
    <s v="DXB"/>
    <d v="2026-06-04T00:00:00"/>
    <n v="149"/>
    <x v="3"/>
    <x v="2"/>
    <n v="151"/>
    <n v="1972976.88"/>
    <n v="255983.66"/>
    <n v="1716993.22"/>
    <x v="2"/>
    <n v="0.83888888888888891"/>
  </r>
  <r>
    <s v="SK1495"/>
    <x v="0"/>
    <s v="JFK"/>
    <s v="DEL"/>
    <d v="2026-09-05T00:00:00"/>
    <n v="323"/>
    <x v="3"/>
    <x v="2"/>
    <n v="80"/>
    <n v="846604.95"/>
    <n v="370666.04"/>
    <n v="475938.91"/>
    <x v="8"/>
    <n v="0.44444444444444442"/>
  </r>
  <r>
    <s v="SK1496"/>
    <x v="19"/>
    <s v="BLR"/>
    <s v="BKK"/>
    <d v="2026-08-20T00:00:00"/>
    <n v="152"/>
    <x v="1"/>
    <x v="2"/>
    <n v="63"/>
    <n v="943728.98"/>
    <n v="223600.98"/>
    <n v="720128"/>
    <x v="0"/>
    <n v="0.35"/>
  </r>
  <r>
    <s v="SK1497"/>
    <x v="12"/>
    <s v="MAA"/>
    <s v="LHR"/>
    <d v="2026-08-08T00:00:00"/>
    <n v="280"/>
    <x v="2"/>
    <x v="2"/>
    <n v="91"/>
    <n v="657909.30000000005"/>
    <n v="254717.59"/>
    <n v="403191.71000000008"/>
    <x v="0"/>
    <n v="0.50555555555555554"/>
  </r>
  <r>
    <s v="SK1498"/>
    <x v="21"/>
    <s v="LHR"/>
    <s v="MAA"/>
    <d v="2026-06-02T00:00:00"/>
    <n v="184"/>
    <x v="0"/>
    <x v="2"/>
    <n v="174"/>
    <n v="1195014.23"/>
    <n v="282063.90999999997"/>
    <n v="912950.32000000007"/>
    <x v="2"/>
    <n v="0.96666666666666667"/>
  </r>
  <r>
    <s v="SK1499"/>
    <x v="14"/>
    <s v="BOM"/>
    <s v="SIN"/>
    <d v="2026-07-31T00:00:00"/>
    <n v="268"/>
    <x v="0"/>
    <x v="1"/>
    <n v="143"/>
    <n v="789219.37"/>
    <n v="357002.71"/>
    <n v="432216.66"/>
    <x v="5"/>
    <n v="0.95333333333333337"/>
  </r>
  <r>
    <s v="SK1500"/>
    <x v="50"/>
    <s v="BLR"/>
    <s v="JFK"/>
    <d v="2026-02-04T00:00:00"/>
    <n v="595"/>
    <x v="1"/>
    <x v="0"/>
    <n v="257"/>
    <n v="1412799.01"/>
    <n v="761424.45"/>
    <n v="651374.56000000006"/>
    <x v="3"/>
    <n v="0.85666666666666669"/>
  </r>
  <r>
    <s v="SK1501"/>
    <x v="37"/>
    <s v="CCU"/>
    <s v="MAA"/>
    <d v="2026-08-06T00:00:00"/>
    <n v="174"/>
    <x v="1"/>
    <x v="3"/>
    <n v="118"/>
    <n v="928147.89"/>
    <n v="331862.09999999998"/>
    <n v="596285.79"/>
    <x v="0"/>
    <n v="0.47199999999999998"/>
  </r>
  <r>
    <s v="SK1502"/>
    <x v="70"/>
    <s v="CCU"/>
    <s v="SIN"/>
    <d v="2026-02-08T00:00:00"/>
    <n v="318"/>
    <x v="1"/>
    <x v="3"/>
    <n v="98"/>
    <n v="1347479.3"/>
    <n v="307033.55"/>
    <n v="1040445.75"/>
    <x v="3"/>
    <n v="0.39200000000000002"/>
  </r>
  <r>
    <s v="SK1503"/>
    <x v="11"/>
    <s v="BLR"/>
    <s v="CCU"/>
    <d v="2026-10-15T00:00:00"/>
    <n v="87"/>
    <x v="2"/>
    <x v="1"/>
    <n v="109"/>
    <n v="573299.69999999995"/>
    <n v="136997.46"/>
    <n v="436302.24"/>
    <x v="9"/>
    <n v="0.72666666666666668"/>
  </r>
  <r>
    <s v="SK1504"/>
    <x v="66"/>
    <s v="CCU"/>
    <s v="JFK"/>
    <d v="2026-05-08T00:00:00"/>
    <n v="366"/>
    <x v="3"/>
    <x v="0"/>
    <n v="156"/>
    <n v="1841379.4"/>
    <n v="548212.81999999995"/>
    <n v="1293166.58"/>
    <x v="6"/>
    <n v="0.52"/>
  </r>
  <r>
    <s v="SK1505"/>
    <x v="9"/>
    <s v="BOM"/>
    <s v="BLR"/>
    <d v="2026-06-18T00:00:00"/>
    <n v="593"/>
    <x v="3"/>
    <x v="1"/>
    <n v="149"/>
    <n v="1667616.02"/>
    <n v="632487.49"/>
    <n v="1035128.53"/>
    <x v="2"/>
    <n v="0.99333333333333329"/>
  </r>
  <r>
    <s v="SK1506"/>
    <x v="54"/>
    <s v="SIN"/>
    <s v="JFK"/>
    <d v="2026-02-18T00:00:00"/>
    <n v="160"/>
    <x v="3"/>
    <x v="0"/>
    <n v="225"/>
    <n v="2495592.65"/>
    <n v="339755.01"/>
    <n v="2155837.6399999997"/>
    <x v="3"/>
    <n v="0.75"/>
  </r>
  <r>
    <s v="SK1507"/>
    <x v="22"/>
    <s v="CCU"/>
    <s v="BOM"/>
    <d v="2026-07-30T00:00:00"/>
    <n v="182"/>
    <x v="2"/>
    <x v="2"/>
    <n v="78"/>
    <n v="636613.6"/>
    <n v="236771.27"/>
    <n v="399842.32999999996"/>
    <x v="5"/>
    <n v="0.43333333333333335"/>
  </r>
  <r>
    <s v="SK1508"/>
    <x v="44"/>
    <s v="JFK"/>
    <s v="MAA"/>
    <d v="2026-05-17T00:00:00"/>
    <n v="492"/>
    <x v="2"/>
    <x v="0"/>
    <n v="149"/>
    <n v="2012725.01"/>
    <n v="489480.79"/>
    <n v="1523244.22"/>
    <x v="6"/>
    <n v="0.49666666666666665"/>
  </r>
  <r>
    <s v="SK1509"/>
    <x v="5"/>
    <s v="MAA"/>
    <s v="SIN"/>
    <d v="2026-03-23T00:00:00"/>
    <n v="500"/>
    <x v="2"/>
    <x v="0"/>
    <n v="280"/>
    <n v="1629705.16"/>
    <n v="628298.39"/>
    <n v="1001406.7699999999"/>
    <x v="4"/>
    <n v="0.93333333333333335"/>
  </r>
  <r>
    <s v="SK1510"/>
    <x v="24"/>
    <s v="BOM"/>
    <s v="BKK"/>
    <d v="2026-09-12T00:00:00"/>
    <n v="591"/>
    <x v="3"/>
    <x v="0"/>
    <n v="266"/>
    <n v="3369143.38"/>
    <n v="477270.37"/>
    <n v="2891873.01"/>
    <x v="8"/>
    <n v="0.88666666666666671"/>
  </r>
  <r>
    <s v="SK1511"/>
    <x v="29"/>
    <s v="BLR"/>
    <s v="DXB"/>
    <d v="2026-03-10T00:00:00"/>
    <n v="293"/>
    <x v="1"/>
    <x v="1"/>
    <n v="116"/>
    <n v="487415.76"/>
    <n v="277229.28000000003"/>
    <n v="210186.47999999998"/>
    <x v="4"/>
    <n v="0.77333333333333332"/>
  </r>
  <r>
    <s v="SK1512"/>
    <x v="13"/>
    <s v="BKK"/>
    <s v="LHR"/>
    <d v="2026-03-09T00:00:00"/>
    <n v="596"/>
    <x v="0"/>
    <x v="1"/>
    <n v="93"/>
    <n v="432711.25"/>
    <n v="395674.03"/>
    <n v="37037.219999999972"/>
    <x v="4"/>
    <n v="0.62"/>
  </r>
  <r>
    <s v="SK1513"/>
    <x v="52"/>
    <s v="BLR"/>
    <s v="SIN"/>
    <d v="2026-04-20T00:00:00"/>
    <n v="117"/>
    <x v="3"/>
    <x v="0"/>
    <n v="123"/>
    <n v="1449244.16"/>
    <n v="222747.63"/>
    <n v="1226496.5299999998"/>
    <x v="7"/>
    <n v="0.41"/>
  </r>
  <r>
    <s v="SK1514"/>
    <x v="45"/>
    <s v="MAA"/>
    <s v="BKK"/>
    <d v="2026-05-06T00:00:00"/>
    <n v="467"/>
    <x v="2"/>
    <x v="2"/>
    <n v="92"/>
    <n v="706886.28"/>
    <n v="614774.99"/>
    <n v="92111.290000000037"/>
    <x v="6"/>
    <n v="0.51111111111111107"/>
  </r>
  <r>
    <s v="SK1515"/>
    <x v="17"/>
    <s v="LHR"/>
    <s v="JFK"/>
    <d v="2026-04-14T00:00:00"/>
    <n v="337"/>
    <x v="2"/>
    <x v="3"/>
    <n v="163"/>
    <n v="1164337.46"/>
    <n v="334253.32"/>
    <n v="830084.1399999999"/>
    <x v="7"/>
    <n v="0.65200000000000002"/>
  </r>
  <r>
    <s v="SK1516"/>
    <x v="62"/>
    <s v="JFK"/>
    <s v="CCU"/>
    <d v="2026-09-18T00:00:00"/>
    <n v="387"/>
    <x v="0"/>
    <x v="3"/>
    <n v="204"/>
    <n v="660893.74"/>
    <n v="477410.41"/>
    <n v="183483.33000000002"/>
    <x v="8"/>
    <n v="0.81599999999999995"/>
  </r>
  <r>
    <s v="SK1517"/>
    <x v="85"/>
    <s v="SIN"/>
    <s v="DXB"/>
    <d v="2026-04-07T00:00:00"/>
    <n v="426"/>
    <x v="1"/>
    <x v="3"/>
    <n v="184"/>
    <n v="1851256.18"/>
    <n v="400849.56"/>
    <n v="1450406.6199999999"/>
    <x v="7"/>
    <n v="0.73599999999999999"/>
  </r>
  <r>
    <s v="SK1518"/>
    <x v="12"/>
    <s v="MAA"/>
    <s v="LHR"/>
    <d v="2026-06-10T00:00:00"/>
    <n v="77"/>
    <x v="3"/>
    <x v="1"/>
    <n v="79"/>
    <n v="1101318"/>
    <n v="151342.25"/>
    <n v="949975.75"/>
    <x v="2"/>
    <n v="0.52666666666666662"/>
  </r>
  <r>
    <s v="SK1519"/>
    <x v="88"/>
    <s v="CCU"/>
    <s v="BLR"/>
    <d v="2026-06-15T00:00:00"/>
    <n v="165"/>
    <x v="1"/>
    <x v="2"/>
    <n v="121"/>
    <n v="1261420.6200000001"/>
    <n v="181934.01"/>
    <n v="1079486.6100000001"/>
    <x v="2"/>
    <n v="0.67222222222222228"/>
  </r>
  <r>
    <s v="SK1520"/>
    <x v="32"/>
    <s v="BOM"/>
    <s v="CCU"/>
    <d v="2026-10-05T00:00:00"/>
    <n v="514"/>
    <x v="1"/>
    <x v="2"/>
    <n v="138"/>
    <n v="1445611.9"/>
    <n v="507785.34"/>
    <n v="937826.55999999982"/>
    <x v="9"/>
    <n v="0.76666666666666672"/>
  </r>
  <r>
    <s v="SK1521"/>
    <x v="34"/>
    <s v="SIN"/>
    <s v="BKK"/>
    <d v="2026-02-20T00:00:00"/>
    <n v="245"/>
    <x v="3"/>
    <x v="3"/>
    <n v="180"/>
    <n v="721900.1"/>
    <n v="416354.77"/>
    <n v="305545.32999999996"/>
    <x v="3"/>
    <n v="0.72"/>
  </r>
  <r>
    <s v="SK1522"/>
    <x v="84"/>
    <s v="MAA"/>
    <s v="JFK"/>
    <d v="2026-05-13T00:00:00"/>
    <n v="180"/>
    <x v="3"/>
    <x v="0"/>
    <n v="246"/>
    <n v="3609835.96"/>
    <n v="240613.42"/>
    <n v="3369222.54"/>
    <x v="6"/>
    <n v="0.82"/>
  </r>
  <r>
    <s v="SK1523"/>
    <x v="59"/>
    <s v="MAA"/>
    <s v="BOM"/>
    <d v="2026-06-23T00:00:00"/>
    <n v="88"/>
    <x v="0"/>
    <x v="0"/>
    <n v="295"/>
    <n v="1032121.86"/>
    <n v="206738.74"/>
    <n v="825383.12"/>
    <x v="2"/>
    <n v="0.98333333333333328"/>
  </r>
  <r>
    <s v="SK1524"/>
    <x v="45"/>
    <s v="MAA"/>
    <s v="BKK"/>
    <d v="2026-08-20T00:00:00"/>
    <n v="254"/>
    <x v="3"/>
    <x v="2"/>
    <n v="74"/>
    <n v="249983.58"/>
    <n v="238621.42"/>
    <n v="11362.159999999974"/>
    <x v="0"/>
    <n v="0.41111111111111109"/>
  </r>
  <r>
    <s v="SK1525"/>
    <x v="1"/>
    <s v="JFK"/>
    <s v="BLR"/>
    <d v="2026-07-17T00:00:00"/>
    <n v="415"/>
    <x v="1"/>
    <x v="1"/>
    <n v="66"/>
    <n v="916946.9"/>
    <n v="307894.58"/>
    <n v="609052.32000000007"/>
    <x v="5"/>
    <n v="0.44"/>
  </r>
  <r>
    <s v="SK1526"/>
    <x v="82"/>
    <s v="BOM"/>
    <s v="JFK"/>
    <d v="2026-08-03T00:00:00"/>
    <n v="217"/>
    <x v="2"/>
    <x v="1"/>
    <n v="134"/>
    <n v="1933234.21"/>
    <n v="191073.76"/>
    <n v="1742160.45"/>
    <x v="0"/>
    <n v="0.89333333333333331"/>
  </r>
  <r>
    <s v="SK1527"/>
    <x v="15"/>
    <s v="JFK"/>
    <s v="DXB"/>
    <d v="2026-05-10T00:00:00"/>
    <n v="598"/>
    <x v="0"/>
    <x v="2"/>
    <n v="152"/>
    <n v="1549230.06"/>
    <n v="532024.98"/>
    <n v="1017205.0800000001"/>
    <x v="6"/>
    <n v="0.84444444444444444"/>
  </r>
  <r>
    <s v="SK1528"/>
    <x v="29"/>
    <s v="BLR"/>
    <s v="DXB"/>
    <d v="2026-05-01T00:00:00"/>
    <n v="85"/>
    <x v="3"/>
    <x v="1"/>
    <n v="116"/>
    <n v="1250373.68"/>
    <n v="127756.99"/>
    <n v="1122616.69"/>
    <x v="6"/>
    <n v="0.77333333333333332"/>
  </r>
  <r>
    <s v="SK1529"/>
    <x v="7"/>
    <s v="DXB"/>
    <s v="CCU"/>
    <d v="2026-10-05T00:00:00"/>
    <n v="264"/>
    <x v="2"/>
    <x v="3"/>
    <n v="231"/>
    <n v="2960002.79"/>
    <n v="437909.47"/>
    <n v="2522093.3200000003"/>
    <x v="9"/>
    <n v="0.92400000000000004"/>
  </r>
  <r>
    <s v="SK1530"/>
    <x v="55"/>
    <s v="LHR"/>
    <s v="BLR"/>
    <d v="2026-07-24T00:00:00"/>
    <n v="315"/>
    <x v="1"/>
    <x v="2"/>
    <n v="161"/>
    <n v="2173048.0299999998"/>
    <n v="275923.02"/>
    <n v="1897125.0099999998"/>
    <x v="5"/>
    <n v="0.89444444444444449"/>
  </r>
  <r>
    <s v="SK1531"/>
    <x v="63"/>
    <s v="DXB"/>
    <s v="BOM"/>
    <d v="2026-10-19T00:00:00"/>
    <n v="384"/>
    <x v="3"/>
    <x v="0"/>
    <n v="218"/>
    <n v="2650400.5499999998"/>
    <n v="557644.57999999996"/>
    <n v="2092755.9699999997"/>
    <x v="9"/>
    <n v="0.72666666666666668"/>
  </r>
  <r>
    <s v="SK1532"/>
    <x v="82"/>
    <s v="BOM"/>
    <s v="JFK"/>
    <d v="2026-01-29T00:00:00"/>
    <n v="138"/>
    <x v="2"/>
    <x v="1"/>
    <n v="74"/>
    <n v="392204.13"/>
    <n v="189840.98"/>
    <n v="202363.15"/>
    <x v="1"/>
    <n v="0.49333333333333335"/>
  </r>
  <r>
    <s v="SK1533"/>
    <x v="73"/>
    <s v="BKK"/>
    <s v="JFK"/>
    <d v="2026-08-26T00:00:00"/>
    <n v="547"/>
    <x v="3"/>
    <x v="1"/>
    <n v="82"/>
    <n v="1165587.6000000001"/>
    <n v="626508.88"/>
    <n v="539078.72000000009"/>
    <x v="0"/>
    <n v="0.54666666666666663"/>
  </r>
  <r>
    <s v="SK1534"/>
    <x v="60"/>
    <s v="LHR"/>
    <s v="SIN"/>
    <d v="2026-01-11T00:00:00"/>
    <n v="459"/>
    <x v="3"/>
    <x v="1"/>
    <n v="143"/>
    <n v="955962.57"/>
    <n v="315796.67"/>
    <n v="640165.89999999991"/>
    <x v="1"/>
    <n v="0.95333333333333337"/>
  </r>
  <r>
    <s v="SK1535"/>
    <x v="36"/>
    <s v="JFK"/>
    <s v="LHR"/>
    <d v="2026-08-16T00:00:00"/>
    <n v="347"/>
    <x v="2"/>
    <x v="2"/>
    <n v="76"/>
    <n v="920682.38"/>
    <n v="313534.53000000003"/>
    <n v="607147.85"/>
    <x v="0"/>
    <n v="0.42222222222222222"/>
  </r>
  <r>
    <s v="SK1536"/>
    <x v="30"/>
    <s v="DEL"/>
    <s v="LHR"/>
    <d v="2026-07-17T00:00:00"/>
    <n v="285"/>
    <x v="0"/>
    <x v="3"/>
    <n v="75"/>
    <n v="961470.46"/>
    <n v="403823.61"/>
    <n v="557646.85"/>
    <x v="5"/>
    <n v="0.3"/>
  </r>
  <r>
    <s v="SK1537"/>
    <x v="15"/>
    <s v="JFK"/>
    <s v="DXB"/>
    <d v="2026-08-20T00:00:00"/>
    <n v="479"/>
    <x v="1"/>
    <x v="2"/>
    <n v="73"/>
    <n v="1045739.35"/>
    <n v="656916.98"/>
    <n v="388822.37"/>
    <x v="0"/>
    <n v="0.40555555555555556"/>
  </r>
  <r>
    <s v="SK1538"/>
    <x v="19"/>
    <s v="BLR"/>
    <s v="BKK"/>
    <d v="2026-08-15T00:00:00"/>
    <n v="379"/>
    <x v="1"/>
    <x v="0"/>
    <n v="231"/>
    <n v="2555948.94"/>
    <n v="353301.9"/>
    <n v="2202647.04"/>
    <x v="0"/>
    <n v="0.77"/>
  </r>
  <r>
    <s v="SK1539"/>
    <x v="26"/>
    <s v="BKK"/>
    <s v="DEL"/>
    <d v="2026-03-28T00:00:00"/>
    <n v="462"/>
    <x v="1"/>
    <x v="3"/>
    <n v="208"/>
    <n v="2288746.4"/>
    <n v="420910.53"/>
    <n v="1867835.8699999999"/>
    <x v="4"/>
    <n v="0.83199999999999996"/>
  </r>
  <r>
    <s v="SK1540"/>
    <x v="9"/>
    <s v="BOM"/>
    <s v="BLR"/>
    <d v="2026-10-06T00:00:00"/>
    <n v="118"/>
    <x v="3"/>
    <x v="3"/>
    <n v="124"/>
    <n v="1073326.83"/>
    <n v="265038.65999999997"/>
    <n v="808288.17000000016"/>
    <x v="9"/>
    <n v="0.496"/>
  </r>
  <r>
    <s v="SK1541"/>
    <x v="9"/>
    <s v="BOM"/>
    <s v="BLR"/>
    <d v="2026-07-10T00:00:00"/>
    <n v="519"/>
    <x v="0"/>
    <x v="1"/>
    <n v="88"/>
    <n v="330430.28999999998"/>
    <n v="402563.09"/>
    <n v="-72132.800000000047"/>
    <x v="5"/>
    <n v="0.58666666666666667"/>
  </r>
  <r>
    <s v="SK1542"/>
    <x v="87"/>
    <s v="SIN"/>
    <s v="BOM"/>
    <d v="2026-07-07T00:00:00"/>
    <n v="431"/>
    <x v="1"/>
    <x v="0"/>
    <n v="99"/>
    <n v="1164149.1399999999"/>
    <n v="633634.81999999995"/>
    <n v="530514.31999999995"/>
    <x v="5"/>
    <n v="0.33"/>
  </r>
  <r>
    <s v="SK1543"/>
    <x v="86"/>
    <s v="MAA"/>
    <s v="DXB"/>
    <d v="2026-08-31T00:00:00"/>
    <n v="571"/>
    <x v="2"/>
    <x v="3"/>
    <n v="144"/>
    <n v="1316629.95"/>
    <n v="621144.94999999995"/>
    <n v="695485"/>
    <x v="0"/>
    <n v="0.57599999999999996"/>
  </r>
  <r>
    <s v="SK1544"/>
    <x v="72"/>
    <s v="LHR"/>
    <s v="BOM"/>
    <d v="2026-05-15T00:00:00"/>
    <n v="281"/>
    <x v="1"/>
    <x v="2"/>
    <n v="119"/>
    <n v="781421.75"/>
    <n v="257177.76"/>
    <n v="524243.99"/>
    <x v="6"/>
    <n v="0.66111111111111109"/>
  </r>
  <r>
    <s v="SK1545"/>
    <x v="82"/>
    <s v="BOM"/>
    <s v="JFK"/>
    <d v="2026-10-01T00:00:00"/>
    <n v="372"/>
    <x v="0"/>
    <x v="0"/>
    <n v="281"/>
    <n v="3214460.34"/>
    <n v="440817.86"/>
    <n v="2773642.48"/>
    <x v="9"/>
    <n v="0.93666666666666665"/>
  </r>
  <r>
    <s v="SK1546"/>
    <x v="82"/>
    <s v="BOM"/>
    <s v="JFK"/>
    <d v="2026-07-25T00:00:00"/>
    <n v="525"/>
    <x v="1"/>
    <x v="0"/>
    <n v="185"/>
    <n v="1657264.24"/>
    <n v="457819.55"/>
    <n v="1199444.69"/>
    <x v="5"/>
    <n v="0.6166666666666667"/>
  </r>
  <r>
    <s v="SK1547"/>
    <x v="74"/>
    <s v="LHR"/>
    <s v="BKK"/>
    <d v="2026-04-13T00:00:00"/>
    <n v="122"/>
    <x v="0"/>
    <x v="2"/>
    <n v="86"/>
    <n v="1082004.02"/>
    <n v="211397.3"/>
    <n v="870606.72"/>
    <x v="7"/>
    <n v="0.4777777777777778"/>
  </r>
  <r>
    <s v="SK1548"/>
    <x v="9"/>
    <s v="BOM"/>
    <s v="BLR"/>
    <d v="2026-04-22T00:00:00"/>
    <n v="468"/>
    <x v="0"/>
    <x v="2"/>
    <n v="116"/>
    <n v="1045618.52"/>
    <n v="449723.86"/>
    <n v="595894.66"/>
    <x v="7"/>
    <n v="0.64444444444444449"/>
  </r>
  <r>
    <s v="SK1549"/>
    <x v="33"/>
    <s v="DEL"/>
    <s v="BOM"/>
    <d v="2026-07-08T00:00:00"/>
    <n v="514"/>
    <x v="3"/>
    <x v="2"/>
    <n v="155"/>
    <n v="1821332.36"/>
    <n v="527004.53"/>
    <n v="1294327.83"/>
    <x v="5"/>
    <n v="0.86111111111111116"/>
  </r>
  <r>
    <s v="SK1550"/>
    <x v="74"/>
    <s v="LHR"/>
    <s v="BKK"/>
    <d v="2026-10-08T00:00:00"/>
    <n v="462"/>
    <x v="0"/>
    <x v="3"/>
    <n v="128"/>
    <n v="902364.74"/>
    <n v="361847.43"/>
    <n v="540517.31000000006"/>
    <x v="9"/>
    <n v="0.51200000000000001"/>
  </r>
  <r>
    <s v="SK1551"/>
    <x v="83"/>
    <s v="BOM"/>
    <s v="DEL"/>
    <d v="2026-08-28T00:00:00"/>
    <n v="453"/>
    <x v="0"/>
    <x v="2"/>
    <n v="71"/>
    <n v="346434.12"/>
    <n v="625596.42000000004"/>
    <n v="-279162.30000000005"/>
    <x v="0"/>
    <n v="0.39444444444444443"/>
  </r>
  <r>
    <s v="SK1552"/>
    <x v="65"/>
    <s v="CCU"/>
    <s v="BKK"/>
    <d v="2026-09-15T00:00:00"/>
    <n v="426"/>
    <x v="3"/>
    <x v="1"/>
    <n v="146"/>
    <n v="1901866.47"/>
    <n v="574752.92000000004"/>
    <n v="1327113.5499999998"/>
    <x v="8"/>
    <n v="0.97333333333333338"/>
  </r>
  <r>
    <s v="SK1553"/>
    <x v="2"/>
    <s v="DEL"/>
    <s v="JFK"/>
    <d v="2026-06-04T00:00:00"/>
    <n v="316"/>
    <x v="0"/>
    <x v="0"/>
    <n v="82"/>
    <n v="683329.9"/>
    <n v="339325.73"/>
    <n v="344004.17000000004"/>
    <x v="2"/>
    <n v="0.27333333333333332"/>
  </r>
  <r>
    <s v="SK1554"/>
    <x v="7"/>
    <s v="DXB"/>
    <s v="CCU"/>
    <d v="2026-08-30T00:00:00"/>
    <n v="258"/>
    <x v="0"/>
    <x v="1"/>
    <n v="103"/>
    <n v="1381969.33"/>
    <n v="363153.87"/>
    <n v="1018815.4600000001"/>
    <x v="0"/>
    <n v="0.68666666666666665"/>
  </r>
  <r>
    <s v="SK1555"/>
    <x v="56"/>
    <s v="JFK"/>
    <s v="BOM"/>
    <d v="2026-06-12T00:00:00"/>
    <n v="361"/>
    <x v="3"/>
    <x v="0"/>
    <n v="103"/>
    <n v="931836.5"/>
    <n v="333914.90000000002"/>
    <n v="597921.6"/>
    <x v="2"/>
    <n v="0.34333333333333332"/>
  </r>
  <r>
    <s v="SK1556"/>
    <x v="88"/>
    <s v="CCU"/>
    <s v="BLR"/>
    <d v="2026-10-16T00:00:00"/>
    <n v="503"/>
    <x v="2"/>
    <x v="1"/>
    <n v="126"/>
    <n v="1250706.25"/>
    <n v="554562.23"/>
    <n v="696144.02"/>
    <x v="9"/>
    <n v="0.84"/>
  </r>
  <r>
    <s v="SK1557"/>
    <x v="30"/>
    <s v="DEL"/>
    <s v="LHR"/>
    <d v="2026-01-10T00:00:00"/>
    <n v="428"/>
    <x v="2"/>
    <x v="3"/>
    <n v="188"/>
    <n v="1616837.2"/>
    <n v="354791.85"/>
    <n v="1262045.3500000001"/>
    <x v="1"/>
    <n v="0.752"/>
  </r>
  <r>
    <s v="SK1558"/>
    <x v="16"/>
    <s v="CCU"/>
    <s v="DEL"/>
    <d v="2026-07-25T00:00:00"/>
    <n v="419"/>
    <x v="2"/>
    <x v="0"/>
    <n v="167"/>
    <n v="1424267.19"/>
    <n v="443465.88"/>
    <n v="980801.30999999994"/>
    <x v="5"/>
    <n v="0.55666666666666664"/>
  </r>
  <r>
    <s v="SK1559"/>
    <x v="83"/>
    <s v="BOM"/>
    <s v="DEL"/>
    <d v="2026-08-13T00:00:00"/>
    <n v="152"/>
    <x v="1"/>
    <x v="3"/>
    <n v="152"/>
    <n v="1401207.26"/>
    <n v="204993.05"/>
    <n v="1196214.21"/>
    <x v="0"/>
    <n v="0.60799999999999998"/>
  </r>
  <r>
    <s v="SK1560"/>
    <x v="67"/>
    <s v="BLR"/>
    <s v="MAA"/>
    <d v="2026-10-19T00:00:00"/>
    <n v="404"/>
    <x v="1"/>
    <x v="0"/>
    <n v="194"/>
    <n v="1842837.64"/>
    <n v="530001.03"/>
    <n v="1312836.6099999999"/>
    <x v="9"/>
    <n v="0.64666666666666661"/>
  </r>
  <r>
    <s v="SK1561"/>
    <x v="88"/>
    <s v="CCU"/>
    <s v="BLR"/>
    <d v="2026-01-23T00:00:00"/>
    <n v="329"/>
    <x v="0"/>
    <x v="1"/>
    <n v="126"/>
    <n v="1463769.83"/>
    <n v="373408.84"/>
    <n v="1090360.99"/>
    <x v="1"/>
    <n v="0.84"/>
  </r>
  <r>
    <s v="SK1562"/>
    <x v="2"/>
    <s v="DEL"/>
    <s v="JFK"/>
    <d v="2026-02-16T00:00:00"/>
    <n v="481"/>
    <x v="1"/>
    <x v="3"/>
    <n v="111"/>
    <n v="1322191.1399999999"/>
    <n v="459697.53"/>
    <n v="862493.60999999987"/>
    <x v="3"/>
    <n v="0.44400000000000001"/>
  </r>
  <r>
    <s v="SK1563"/>
    <x v="70"/>
    <s v="CCU"/>
    <s v="SIN"/>
    <d v="2026-10-25T00:00:00"/>
    <n v="263"/>
    <x v="1"/>
    <x v="2"/>
    <n v="175"/>
    <n v="2307991.89"/>
    <n v="303175.18"/>
    <n v="2004816.7100000002"/>
    <x v="9"/>
    <n v="0.97222222222222221"/>
  </r>
  <r>
    <s v="SK1564"/>
    <x v="21"/>
    <s v="LHR"/>
    <s v="MAA"/>
    <d v="2026-01-19T00:00:00"/>
    <n v="435"/>
    <x v="1"/>
    <x v="0"/>
    <n v="215"/>
    <n v="1712430.88"/>
    <n v="458621.14"/>
    <n v="1253809.7399999998"/>
    <x v="1"/>
    <n v="0.71666666666666667"/>
  </r>
  <r>
    <s v="SK1565"/>
    <x v="88"/>
    <s v="CCU"/>
    <s v="BLR"/>
    <d v="2026-08-12T00:00:00"/>
    <n v="577"/>
    <x v="3"/>
    <x v="0"/>
    <n v="220"/>
    <n v="1022480.91"/>
    <n v="574350.04"/>
    <n v="448130.87"/>
    <x v="0"/>
    <n v="0.73333333333333328"/>
  </r>
  <r>
    <s v="SK1566"/>
    <x v="89"/>
    <s v="BLR"/>
    <s v="LHR"/>
    <d v="2026-09-01T00:00:00"/>
    <n v="145"/>
    <x v="0"/>
    <x v="3"/>
    <n v="187"/>
    <n v="2539389.7200000002"/>
    <n v="249792.01"/>
    <n v="2289597.71"/>
    <x v="8"/>
    <n v="0.748"/>
  </r>
  <r>
    <s v="SK1567"/>
    <x v="3"/>
    <s v="JFK"/>
    <s v="SIN"/>
    <d v="2026-02-15T00:00:00"/>
    <n v="251"/>
    <x v="1"/>
    <x v="3"/>
    <n v="69"/>
    <n v="233898.9"/>
    <n v="355090.14"/>
    <n v="-121191.24000000002"/>
    <x v="3"/>
    <n v="0.27600000000000002"/>
  </r>
  <r>
    <s v="SK1568"/>
    <x v="28"/>
    <s v="LHR"/>
    <s v="CCU"/>
    <d v="2026-04-23T00:00:00"/>
    <n v="377"/>
    <x v="0"/>
    <x v="2"/>
    <n v="105"/>
    <n v="555965.07999999996"/>
    <n v="440911.69"/>
    <n v="115053.38999999996"/>
    <x v="7"/>
    <n v="0.58333333333333337"/>
  </r>
  <r>
    <s v="SK1569"/>
    <x v="73"/>
    <s v="BKK"/>
    <s v="JFK"/>
    <d v="2026-02-14T00:00:00"/>
    <n v="167"/>
    <x v="0"/>
    <x v="3"/>
    <n v="111"/>
    <n v="1577131.94"/>
    <n v="298086.46000000002"/>
    <n v="1279045.48"/>
    <x v="3"/>
    <n v="0.44400000000000001"/>
  </r>
  <r>
    <s v="SK1570"/>
    <x v="65"/>
    <s v="CCU"/>
    <s v="BKK"/>
    <d v="2026-08-20T00:00:00"/>
    <n v="263"/>
    <x v="2"/>
    <x v="0"/>
    <n v="68"/>
    <n v="717975.88"/>
    <n v="347737.23"/>
    <n v="370238.65"/>
    <x v="0"/>
    <n v="0.22666666666666666"/>
  </r>
  <r>
    <s v="SK1571"/>
    <x v="17"/>
    <s v="LHR"/>
    <s v="JFK"/>
    <d v="2026-08-25T00:00:00"/>
    <n v="197"/>
    <x v="0"/>
    <x v="2"/>
    <n v="104"/>
    <n v="583689.35"/>
    <n v="321714.36"/>
    <n v="261974.99"/>
    <x v="0"/>
    <n v="0.57777777777777772"/>
  </r>
  <r>
    <s v="SK1572"/>
    <x v="19"/>
    <s v="BLR"/>
    <s v="BKK"/>
    <d v="2026-08-13T00:00:00"/>
    <n v="70"/>
    <x v="2"/>
    <x v="0"/>
    <n v="84"/>
    <n v="1066086.8799999999"/>
    <n v="222802.19"/>
    <n v="843284.69"/>
    <x v="0"/>
    <n v="0.28000000000000003"/>
  </r>
  <r>
    <s v="SK1573"/>
    <x v="85"/>
    <s v="SIN"/>
    <s v="DXB"/>
    <d v="2026-06-08T00:00:00"/>
    <n v="187"/>
    <x v="3"/>
    <x v="1"/>
    <n v="80"/>
    <n v="938076.3"/>
    <n v="296881.64"/>
    <n v="641194.66"/>
    <x v="2"/>
    <n v="0.53333333333333333"/>
  </r>
  <r>
    <s v="SK1574"/>
    <x v="10"/>
    <s v="DXB"/>
    <s v="SIN"/>
    <d v="2026-10-20T00:00:00"/>
    <n v="464"/>
    <x v="1"/>
    <x v="0"/>
    <n v="68"/>
    <n v="269294.90999999997"/>
    <n v="498754.11"/>
    <n v="-229459.20000000001"/>
    <x v="9"/>
    <n v="0.22666666666666666"/>
  </r>
  <r>
    <s v="SK1575"/>
    <x v="5"/>
    <s v="MAA"/>
    <s v="SIN"/>
    <d v="2026-04-13T00:00:00"/>
    <n v="385"/>
    <x v="0"/>
    <x v="1"/>
    <n v="115"/>
    <n v="1182622.8999999999"/>
    <n v="318300.71000000002"/>
    <n v="864322.19"/>
    <x v="7"/>
    <n v="0.76666666666666672"/>
  </r>
  <r>
    <s v="SK1576"/>
    <x v="77"/>
    <s v="DEL"/>
    <s v="BLR"/>
    <d v="2026-07-12T00:00:00"/>
    <n v="589"/>
    <x v="3"/>
    <x v="0"/>
    <n v="188"/>
    <n v="1317740.1000000001"/>
    <n v="659650.87"/>
    <n v="658089.2300000001"/>
    <x v="5"/>
    <n v="0.62666666666666671"/>
  </r>
  <r>
    <s v="SK1577"/>
    <x v="38"/>
    <s v="SIN"/>
    <s v="CCU"/>
    <d v="2026-04-03T00:00:00"/>
    <n v="568"/>
    <x v="2"/>
    <x v="2"/>
    <n v="135"/>
    <n v="655843.06000000006"/>
    <n v="515622.71"/>
    <n v="140220.35000000003"/>
    <x v="7"/>
    <n v="0.75"/>
  </r>
  <r>
    <s v="SK1578"/>
    <x v="13"/>
    <s v="BKK"/>
    <s v="LHR"/>
    <d v="2026-06-10T00:00:00"/>
    <n v="329"/>
    <x v="1"/>
    <x v="0"/>
    <n v="130"/>
    <n v="511491.22"/>
    <n v="477276.87"/>
    <n v="34214.349999999977"/>
    <x v="2"/>
    <n v="0.43333333333333335"/>
  </r>
  <r>
    <s v="SK1579"/>
    <x v="39"/>
    <s v="LHR"/>
    <s v="DEL"/>
    <d v="2026-03-20T00:00:00"/>
    <n v="261"/>
    <x v="3"/>
    <x v="2"/>
    <n v="95"/>
    <n v="672249.59"/>
    <n v="351864.85"/>
    <n v="320384.74"/>
    <x v="4"/>
    <n v="0.52777777777777779"/>
  </r>
  <r>
    <s v="SK1580"/>
    <x v="57"/>
    <s v="MAA"/>
    <s v="DEL"/>
    <d v="2026-02-17T00:00:00"/>
    <n v="521"/>
    <x v="1"/>
    <x v="0"/>
    <n v="221"/>
    <n v="3104846.11"/>
    <n v="622605.44999999995"/>
    <n v="2482240.66"/>
    <x v="3"/>
    <n v="0.73666666666666669"/>
  </r>
  <r>
    <s v="SK1581"/>
    <x v="0"/>
    <s v="JFK"/>
    <s v="DEL"/>
    <d v="2026-07-21T00:00:00"/>
    <n v="389"/>
    <x v="0"/>
    <x v="0"/>
    <n v="247"/>
    <n v="3407416.16"/>
    <n v="557420.24"/>
    <n v="2849995.92"/>
    <x v="5"/>
    <n v="0.82333333333333336"/>
  </r>
  <r>
    <s v="SK1582"/>
    <x v="53"/>
    <s v="SIN"/>
    <s v="MAA"/>
    <d v="2026-01-22T00:00:00"/>
    <n v="184"/>
    <x v="0"/>
    <x v="2"/>
    <n v="100"/>
    <n v="666842.56000000006"/>
    <n v="249555.67"/>
    <n v="417286.89"/>
    <x v="1"/>
    <n v="0.55555555555555558"/>
  </r>
  <r>
    <s v="SK1583"/>
    <x v="3"/>
    <s v="JFK"/>
    <s v="SIN"/>
    <d v="2026-09-24T00:00:00"/>
    <n v="327"/>
    <x v="3"/>
    <x v="2"/>
    <n v="88"/>
    <n v="726645.9"/>
    <n v="440691.77"/>
    <n v="285954.13"/>
    <x v="8"/>
    <n v="0.48888888888888887"/>
  </r>
  <r>
    <s v="SK1584"/>
    <x v="69"/>
    <s v="MAA"/>
    <s v="BLR"/>
    <d v="2026-08-18T00:00:00"/>
    <n v="330"/>
    <x v="0"/>
    <x v="3"/>
    <n v="208"/>
    <n v="2364829.7799999998"/>
    <n v="310904.65000000002"/>
    <n v="2053925.13"/>
    <x v="0"/>
    <n v="0.83199999999999996"/>
  </r>
  <r>
    <s v="SK1585"/>
    <x v="38"/>
    <s v="SIN"/>
    <s v="CCU"/>
    <d v="2026-03-23T00:00:00"/>
    <n v="431"/>
    <x v="2"/>
    <x v="0"/>
    <n v="51"/>
    <n v="299494.34000000003"/>
    <n v="491601.1"/>
    <n v="-192106.75999999995"/>
    <x v="4"/>
    <n v="0.17"/>
  </r>
  <r>
    <s v="SK1586"/>
    <x v="84"/>
    <s v="MAA"/>
    <s v="JFK"/>
    <d v="2026-09-14T00:00:00"/>
    <n v="526"/>
    <x v="3"/>
    <x v="1"/>
    <n v="69"/>
    <n v="866059.09"/>
    <n v="450579.41"/>
    <n v="415479.68"/>
    <x v="8"/>
    <n v="0.46"/>
  </r>
  <r>
    <s v="SK1587"/>
    <x v="88"/>
    <s v="CCU"/>
    <s v="BLR"/>
    <d v="2026-07-22T00:00:00"/>
    <n v="83"/>
    <x v="1"/>
    <x v="3"/>
    <n v="104"/>
    <n v="1383713.72"/>
    <n v="203322.81"/>
    <n v="1180390.9099999999"/>
    <x v="5"/>
    <n v="0.41599999999999998"/>
  </r>
  <r>
    <s v="SK1588"/>
    <x v="21"/>
    <s v="LHR"/>
    <s v="MAA"/>
    <d v="2026-06-12T00:00:00"/>
    <n v="224"/>
    <x v="2"/>
    <x v="2"/>
    <n v="103"/>
    <n v="769604.21"/>
    <n v="257148.1"/>
    <n v="512456.11"/>
    <x v="2"/>
    <n v="0.57222222222222219"/>
  </r>
  <r>
    <s v="SK1589"/>
    <x v="32"/>
    <s v="BOM"/>
    <s v="CCU"/>
    <d v="2026-10-15T00:00:00"/>
    <n v="485"/>
    <x v="1"/>
    <x v="2"/>
    <n v="164"/>
    <n v="1198253.58"/>
    <n v="539609.72"/>
    <n v="658643.8600000001"/>
    <x v="9"/>
    <n v="0.91111111111111109"/>
  </r>
  <r>
    <s v="SK1590"/>
    <x v="28"/>
    <s v="LHR"/>
    <s v="CCU"/>
    <d v="2026-04-20T00:00:00"/>
    <n v="399"/>
    <x v="2"/>
    <x v="3"/>
    <n v="149"/>
    <n v="853451.86"/>
    <n v="419248.99"/>
    <n v="434202.87"/>
    <x v="7"/>
    <n v="0.59599999999999997"/>
  </r>
  <r>
    <s v="SK1591"/>
    <x v="22"/>
    <s v="CCU"/>
    <s v="BOM"/>
    <d v="2026-07-20T00:00:00"/>
    <n v="107"/>
    <x v="3"/>
    <x v="3"/>
    <n v="56"/>
    <n v="482900.42"/>
    <n v="222788.46"/>
    <n v="260111.96"/>
    <x v="5"/>
    <n v="0.224"/>
  </r>
  <r>
    <s v="SK1592"/>
    <x v="23"/>
    <s v="SIN"/>
    <s v="DEL"/>
    <d v="2026-08-06T00:00:00"/>
    <n v="273"/>
    <x v="3"/>
    <x v="0"/>
    <n v="238"/>
    <n v="2283899.2599999998"/>
    <n v="450418.73"/>
    <n v="1833480.5299999998"/>
    <x v="0"/>
    <n v="0.79333333333333333"/>
  </r>
  <r>
    <s v="SK1593"/>
    <x v="10"/>
    <s v="DXB"/>
    <s v="SIN"/>
    <d v="2026-09-10T00:00:00"/>
    <n v="235"/>
    <x v="2"/>
    <x v="2"/>
    <n v="77"/>
    <n v="821709.02"/>
    <n v="347895.08"/>
    <n v="473813.94"/>
    <x v="8"/>
    <n v="0.42777777777777776"/>
  </r>
  <r>
    <s v="SK1594"/>
    <x v="85"/>
    <s v="SIN"/>
    <s v="DXB"/>
    <d v="2026-04-15T00:00:00"/>
    <n v="565"/>
    <x v="3"/>
    <x v="0"/>
    <n v="90"/>
    <n v="904335.61"/>
    <n v="501400.32000000001"/>
    <n v="402935.29"/>
    <x v="7"/>
    <n v="0.3"/>
  </r>
  <r>
    <s v="SK1595"/>
    <x v="27"/>
    <s v="SIN"/>
    <s v="BLR"/>
    <d v="2026-08-13T00:00:00"/>
    <n v="346"/>
    <x v="3"/>
    <x v="1"/>
    <n v="111"/>
    <n v="1539468.05"/>
    <n v="484166.11"/>
    <n v="1055301.94"/>
    <x v="0"/>
    <n v="0.74"/>
  </r>
  <r>
    <s v="SK1596"/>
    <x v="9"/>
    <s v="BOM"/>
    <s v="BLR"/>
    <d v="2026-07-23T00:00:00"/>
    <n v="163"/>
    <x v="3"/>
    <x v="2"/>
    <n v="150"/>
    <n v="1266149.22"/>
    <n v="284376.84000000003"/>
    <n v="981772.37999999989"/>
    <x v="5"/>
    <n v="0.83333333333333337"/>
  </r>
  <r>
    <s v="SK1597"/>
    <x v="5"/>
    <s v="MAA"/>
    <s v="SIN"/>
    <d v="2026-05-18T00:00:00"/>
    <n v="402"/>
    <x v="2"/>
    <x v="2"/>
    <n v="173"/>
    <n v="2308263.5699999998"/>
    <n v="449789.38"/>
    <n v="1858474.19"/>
    <x v="6"/>
    <n v="0.96111111111111114"/>
  </r>
  <r>
    <s v="SK1598"/>
    <x v="20"/>
    <s v="DEL"/>
    <s v="SIN"/>
    <d v="2026-01-28T00:00:00"/>
    <n v="594"/>
    <x v="1"/>
    <x v="1"/>
    <n v="66"/>
    <n v="615239.19999999995"/>
    <n v="395741.8"/>
    <n v="219497.39999999997"/>
    <x v="1"/>
    <n v="0.44"/>
  </r>
  <r>
    <s v="SK1599"/>
    <x v="12"/>
    <s v="MAA"/>
    <s v="LHR"/>
    <d v="2026-07-16T00:00:00"/>
    <n v="538"/>
    <x v="2"/>
    <x v="3"/>
    <n v="69"/>
    <n v="875640.02"/>
    <n v="585570.38"/>
    <n v="290069.64"/>
    <x v="5"/>
    <n v="0.27600000000000002"/>
  </r>
  <r>
    <s v="SK1600"/>
    <x v="78"/>
    <s v="SIN"/>
    <s v="LHR"/>
    <d v="2026-08-03T00:00:00"/>
    <n v="519"/>
    <x v="3"/>
    <x v="2"/>
    <n v="92"/>
    <n v="1126332.56"/>
    <n v="621139.6"/>
    <n v="505192.96000000008"/>
    <x v="0"/>
    <n v="0.51111111111111107"/>
  </r>
  <r>
    <s v="SK1601"/>
    <x v="52"/>
    <s v="BLR"/>
    <s v="SIN"/>
    <d v="2026-01-15T00:00:00"/>
    <n v="112"/>
    <x v="1"/>
    <x v="0"/>
    <n v="123"/>
    <n v="1703471.76"/>
    <n v="218271.89"/>
    <n v="1485199.87"/>
    <x v="1"/>
    <n v="0.41"/>
  </r>
  <r>
    <s v="SK1602"/>
    <x v="34"/>
    <s v="SIN"/>
    <s v="BKK"/>
    <d v="2026-06-03T00:00:00"/>
    <n v="260"/>
    <x v="3"/>
    <x v="3"/>
    <n v="208"/>
    <n v="1663047.18"/>
    <n v="336690.95"/>
    <n v="1326356.23"/>
    <x v="2"/>
    <n v="0.83199999999999996"/>
  </r>
  <r>
    <s v="SK1603"/>
    <x v="54"/>
    <s v="SIN"/>
    <s v="JFK"/>
    <d v="2026-06-02T00:00:00"/>
    <n v="163"/>
    <x v="0"/>
    <x v="0"/>
    <n v="248"/>
    <n v="957994.39"/>
    <n v="335217.53999999998"/>
    <n v="622776.85000000009"/>
    <x v="2"/>
    <n v="0.82666666666666666"/>
  </r>
  <r>
    <s v="SK1604"/>
    <x v="71"/>
    <s v="DXB"/>
    <s v="BKK"/>
    <d v="2026-03-14T00:00:00"/>
    <n v="478"/>
    <x v="2"/>
    <x v="1"/>
    <n v="80"/>
    <n v="835201.28"/>
    <n v="427838.61"/>
    <n v="407362.67000000004"/>
    <x v="4"/>
    <n v="0.53333333333333333"/>
  </r>
  <r>
    <s v="SK1605"/>
    <x v="88"/>
    <s v="CCU"/>
    <s v="BLR"/>
    <d v="2026-07-12T00:00:00"/>
    <n v="389"/>
    <x v="0"/>
    <x v="0"/>
    <n v="148"/>
    <n v="1961512.23"/>
    <n v="345830.04"/>
    <n v="1615682.19"/>
    <x v="5"/>
    <n v="0.49333333333333335"/>
  </r>
  <r>
    <s v="SK1606"/>
    <x v="68"/>
    <s v="BKK"/>
    <s v="CCU"/>
    <d v="2026-10-12T00:00:00"/>
    <n v="333"/>
    <x v="1"/>
    <x v="3"/>
    <n v="63"/>
    <n v="560753.88"/>
    <n v="500412.67"/>
    <n v="60341.210000000021"/>
    <x v="9"/>
    <n v="0.252"/>
  </r>
  <r>
    <s v="SK1607"/>
    <x v="8"/>
    <s v="DXB"/>
    <s v="MAA"/>
    <d v="2026-07-19T00:00:00"/>
    <n v="195"/>
    <x v="0"/>
    <x v="3"/>
    <n v="244"/>
    <n v="2972712.09"/>
    <n v="271129.69"/>
    <n v="2701582.4"/>
    <x v="5"/>
    <n v="0.97599999999999998"/>
  </r>
  <r>
    <s v="SK1608"/>
    <x v="39"/>
    <s v="LHR"/>
    <s v="DEL"/>
    <d v="2026-05-19T00:00:00"/>
    <n v="335"/>
    <x v="0"/>
    <x v="1"/>
    <n v="96"/>
    <n v="725298.46"/>
    <n v="419561.67"/>
    <n v="305736.78999999998"/>
    <x v="6"/>
    <n v="0.64"/>
  </r>
  <r>
    <s v="SK1609"/>
    <x v="33"/>
    <s v="DEL"/>
    <s v="BOM"/>
    <d v="2026-05-19T00:00:00"/>
    <n v="264"/>
    <x v="2"/>
    <x v="1"/>
    <n v="53"/>
    <n v="571861.92000000004"/>
    <n v="336003.44"/>
    <n v="235858.48000000004"/>
    <x v="6"/>
    <n v="0.35333333333333333"/>
  </r>
  <r>
    <s v="SK1610"/>
    <x v="72"/>
    <s v="LHR"/>
    <s v="BOM"/>
    <d v="2026-03-18T00:00:00"/>
    <n v="136"/>
    <x v="3"/>
    <x v="0"/>
    <n v="294"/>
    <n v="2232268.59"/>
    <n v="290084.40000000002"/>
    <n v="1942184.19"/>
    <x v="4"/>
    <n v="0.98"/>
  </r>
  <r>
    <s v="SK1611"/>
    <x v="30"/>
    <s v="DEL"/>
    <s v="LHR"/>
    <d v="2026-06-01T00:00:00"/>
    <n v="217"/>
    <x v="3"/>
    <x v="1"/>
    <n v="111"/>
    <n v="1508483.48"/>
    <n v="186556.49"/>
    <n v="1321926.99"/>
    <x v="2"/>
    <n v="0.74"/>
  </r>
  <r>
    <s v="SK1612"/>
    <x v="7"/>
    <s v="DXB"/>
    <s v="CCU"/>
    <d v="2026-02-28T00:00:00"/>
    <n v="236"/>
    <x v="0"/>
    <x v="2"/>
    <n v="98"/>
    <n v="918855.79"/>
    <n v="274033.67"/>
    <n v="644822.12000000011"/>
    <x v="3"/>
    <n v="0.5444444444444444"/>
  </r>
  <r>
    <s v="SK1613"/>
    <x v="84"/>
    <s v="MAA"/>
    <s v="JFK"/>
    <d v="2026-09-28T00:00:00"/>
    <n v="123"/>
    <x v="3"/>
    <x v="2"/>
    <n v="124"/>
    <n v="621196.09"/>
    <n v="184132.4"/>
    <n v="437063.68999999994"/>
    <x v="8"/>
    <n v="0.68888888888888888"/>
  </r>
  <r>
    <s v="SK1614"/>
    <x v="49"/>
    <s v="JFK"/>
    <s v="BKK"/>
    <d v="2026-10-08T00:00:00"/>
    <n v="132"/>
    <x v="3"/>
    <x v="1"/>
    <n v="136"/>
    <n v="1839928.79"/>
    <n v="144721.99"/>
    <n v="1695206.8"/>
    <x v="9"/>
    <n v="0.90666666666666662"/>
  </r>
  <r>
    <s v="SK1615"/>
    <x v="0"/>
    <s v="JFK"/>
    <s v="DEL"/>
    <d v="2026-05-11T00:00:00"/>
    <n v="161"/>
    <x v="3"/>
    <x v="2"/>
    <n v="85"/>
    <n v="846331.86"/>
    <n v="245675.05"/>
    <n v="600656.81000000006"/>
    <x v="6"/>
    <n v="0.47222222222222221"/>
  </r>
  <r>
    <s v="SK1616"/>
    <x v="40"/>
    <s v="DEL"/>
    <s v="MAA"/>
    <d v="2026-04-23T00:00:00"/>
    <n v="192"/>
    <x v="0"/>
    <x v="3"/>
    <n v="106"/>
    <n v="810497.12"/>
    <n v="267516.98"/>
    <n v="542980.14"/>
    <x v="7"/>
    <n v="0.42399999999999999"/>
  </r>
  <r>
    <s v="SK1617"/>
    <x v="0"/>
    <s v="JFK"/>
    <s v="DEL"/>
    <d v="2026-02-10T00:00:00"/>
    <n v="226"/>
    <x v="3"/>
    <x v="2"/>
    <n v="72"/>
    <n v="651683.63"/>
    <n v="339945.04"/>
    <n v="311738.59000000003"/>
    <x v="3"/>
    <n v="0.4"/>
  </r>
  <r>
    <s v="SK1618"/>
    <x v="68"/>
    <s v="BKK"/>
    <s v="CCU"/>
    <d v="2026-02-20T00:00:00"/>
    <n v="452"/>
    <x v="2"/>
    <x v="0"/>
    <n v="104"/>
    <n v="927690.3"/>
    <n v="388677.86"/>
    <n v="539012.44000000006"/>
    <x v="3"/>
    <n v="0.34666666666666668"/>
  </r>
  <r>
    <s v="SK1619"/>
    <x v="7"/>
    <s v="DXB"/>
    <s v="CCU"/>
    <d v="2026-05-20T00:00:00"/>
    <n v="461"/>
    <x v="3"/>
    <x v="0"/>
    <n v="289"/>
    <n v="2731716.3"/>
    <n v="594651.69999999995"/>
    <n v="2137064.5999999996"/>
    <x v="6"/>
    <n v="0.96333333333333337"/>
  </r>
  <r>
    <s v="SK1620"/>
    <x v="12"/>
    <s v="MAA"/>
    <s v="LHR"/>
    <d v="2026-04-26T00:00:00"/>
    <n v="411"/>
    <x v="2"/>
    <x v="2"/>
    <n v="50"/>
    <n v="231296.71"/>
    <n v="424265.87"/>
    <n v="-192969.16"/>
    <x v="7"/>
    <n v="0.27777777777777779"/>
  </r>
  <r>
    <s v="SK1621"/>
    <x v="15"/>
    <s v="JFK"/>
    <s v="DXB"/>
    <d v="2026-05-24T00:00:00"/>
    <n v="348"/>
    <x v="3"/>
    <x v="2"/>
    <n v="50"/>
    <n v="392385.77"/>
    <n v="376084.55"/>
    <n v="16301.22000000003"/>
    <x v="6"/>
    <n v="0.27777777777777779"/>
  </r>
  <r>
    <s v="SK1622"/>
    <x v="64"/>
    <s v="BOM"/>
    <s v="MAA"/>
    <d v="2026-08-03T00:00:00"/>
    <n v="556"/>
    <x v="1"/>
    <x v="0"/>
    <n v="72"/>
    <n v="754420.97"/>
    <n v="456967.54"/>
    <n v="297453.43"/>
    <x v="0"/>
    <n v="0.24"/>
  </r>
  <r>
    <s v="SK1623"/>
    <x v="27"/>
    <s v="SIN"/>
    <s v="BLR"/>
    <d v="2026-08-03T00:00:00"/>
    <n v="251"/>
    <x v="1"/>
    <x v="0"/>
    <n v="256"/>
    <n v="2181316.9700000002"/>
    <n v="327802.15999999997"/>
    <n v="1853514.8100000003"/>
    <x v="0"/>
    <n v="0.85333333333333339"/>
  </r>
  <r>
    <s v="SK1624"/>
    <x v="84"/>
    <s v="MAA"/>
    <s v="JFK"/>
    <d v="2026-03-14T00:00:00"/>
    <n v="111"/>
    <x v="1"/>
    <x v="0"/>
    <n v="114"/>
    <n v="515876.38"/>
    <n v="233217.39"/>
    <n v="282658.99"/>
    <x v="4"/>
    <n v="0.38"/>
  </r>
  <r>
    <s v="SK1625"/>
    <x v="41"/>
    <s v="BKK"/>
    <s v="BLR"/>
    <d v="2026-02-23T00:00:00"/>
    <n v="335"/>
    <x v="0"/>
    <x v="3"/>
    <n v="184"/>
    <n v="614246.48"/>
    <n v="349892.72"/>
    <n v="264353.76"/>
    <x v="3"/>
    <n v="0.73599999999999999"/>
  </r>
  <r>
    <s v="SK1626"/>
    <x v="86"/>
    <s v="MAA"/>
    <s v="DXB"/>
    <d v="2026-04-11T00:00:00"/>
    <n v="115"/>
    <x v="1"/>
    <x v="0"/>
    <n v="288"/>
    <n v="1091507.94"/>
    <n v="263252.11"/>
    <n v="828255.83"/>
    <x v="7"/>
    <n v="0.96"/>
  </r>
  <r>
    <s v="SK1627"/>
    <x v="42"/>
    <s v="BKK"/>
    <s v="BOM"/>
    <d v="2026-01-16T00:00:00"/>
    <n v="337"/>
    <x v="2"/>
    <x v="1"/>
    <n v="111"/>
    <n v="562569.15"/>
    <n v="420975.87"/>
    <n v="141593.28000000003"/>
    <x v="1"/>
    <n v="0.74"/>
  </r>
  <r>
    <s v="SK1628"/>
    <x v="37"/>
    <s v="CCU"/>
    <s v="MAA"/>
    <d v="2026-09-22T00:00:00"/>
    <n v="328"/>
    <x v="3"/>
    <x v="3"/>
    <n v="84"/>
    <n v="385634.67"/>
    <n v="466864.91"/>
    <n v="-81230.239999999991"/>
    <x v="8"/>
    <n v="0.33600000000000002"/>
  </r>
  <r>
    <s v="SK1629"/>
    <x v="75"/>
    <s v="DXB"/>
    <s v="JFK"/>
    <d v="2026-03-24T00:00:00"/>
    <n v="284"/>
    <x v="1"/>
    <x v="3"/>
    <n v="167"/>
    <n v="2145219.91"/>
    <n v="383162.76"/>
    <n v="1762057.1500000001"/>
    <x v="4"/>
    <n v="0.66800000000000004"/>
  </r>
  <r>
    <s v="SK1630"/>
    <x v="74"/>
    <s v="LHR"/>
    <s v="BKK"/>
    <d v="2026-07-29T00:00:00"/>
    <n v="132"/>
    <x v="1"/>
    <x v="3"/>
    <n v="102"/>
    <n v="1358331.31"/>
    <n v="233342.61"/>
    <n v="1124988.7000000002"/>
    <x v="5"/>
    <n v="0.40799999999999997"/>
  </r>
  <r>
    <s v="SK1631"/>
    <x v="33"/>
    <s v="DEL"/>
    <s v="BOM"/>
    <d v="2026-08-07T00:00:00"/>
    <n v="181"/>
    <x v="0"/>
    <x v="0"/>
    <n v="75"/>
    <n v="1090699.4099999999"/>
    <n v="323184.68"/>
    <n v="767514.73"/>
    <x v="0"/>
    <n v="0.25"/>
  </r>
  <r>
    <s v="SK1632"/>
    <x v="27"/>
    <s v="SIN"/>
    <s v="BLR"/>
    <d v="2026-05-03T00:00:00"/>
    <n v="408"/>
    <x v="1"/>
    <x v="2"/>
    <n v="116"/>
    <n v="1172854.9099999999"/>
    <n v="402506.38"/>
    <n v="770348.52999999991"/>
    <x v="6"/>
    <n v="0.64444444444444449"/>
  </r>
  <r>
    <s v="SK1633"/>
    <x v="62"/>
    <s v="JFK"/>
    <s v="CCU"/>
    <d v="2026-07-08T00:00:00"/>
    <n v="299"/>
    <x v="0"/>
    <x v="3"/>
    <n v="245"/>
    <n v="1120374.79"/>
    <n v="434856.68"/>
    <n v="685518.1100000001"/>
    <x v="5"/>
    <n v="0.98"/>
  </r>
  <r>
    <s v="SK1634"/>
    <x v="72"/>
    <s v="LHR"/>
    <s v="BOM"/>
    <d v="2026-06-18T00:00:00"/>
    <n v="398"/>
    <x v="3"/>
    <x v="1"/>
    <n v="144"/>
    <n v="1134667.92"/>
    <n v="380749.62"/>
    <n v="753918.29999999993"/>
    <x v="2"/>
    <n v="0.96"/>
  </r>
  <r>
    <s v="SK1635"/>
    <x v="35"/>
    <s v="DXB"/>
    <s v="BLR"/>
    <d v="2026-06-18T00:00:00"/>
    <n v="262"/>
    <x v="2"/>
    <x v="1"/>
    <n v="66"/>
    <n v="940662.06"/>
    <n v="373307.49"/>
    <n v="567354.57000000007"/>
    <x v="2"/>
    <n v="0.44"/>
  </r>
  <r>
    <s v="SK1636"/>
    <x v="89"/>
    <s v="BLR"/>
    <s v="LHR"/>
    <d v="2026-10-01T00:00:00"/>
    <n v="267"/>
    <x v="2"/>
    <x v="1"/>
    <n v="59"/>
    <n v="562065.56999999995"/>
    <n v="271775.75"/>
    <n v="290289.81999999995"/>
    <x v="9"/>
    <n v="0.39333333333333331"/>
  </r>
  <r>
    <s v="SK1637"/>
    <x v="43"/>
    <s v="MAA"/>
    <s v="CCU"/>
    <d v="2026-01-24T00:00:00"/>
    <n v="415"/>
    <x v="3"/>
    <x v="0"/>
    <n v="204"/>
    <n v="2632721.98"/>
    <n v="373768.67"/>
    <n v="2258953.31"/>
    <x v="1"/>
    <n v="0.68"/>
  </r>
  <r>
    <s v="SK1638"/>
    <x v="26"/>
    <s v="BKK"/>
    <s v="DEL"/>
    <d v="2026-03-15T00:00:00"/>
    <n v="246"/>
    <x v="3"/>
    <x v="1"/>
    <n v="85"/>
    <n v="1256777.8899999999"/>
    <n v="367276.04"/>
    <n v="889501.84999999986"/>
    <x v="4"/>
    <n v="0.56666666666666665"/>
  </r>
  <r>
    <s v="SK1639"/>
    <x v="74"/>
    <s v="LHR"/>
    <s v="BKK"/>
    <d v="2026-08-02T00:00:00"/>
    <n v="490"/>
    <x v="3"/>
    <x v="1"/>
    <n v="107"/>
    <n v="1558668.16"/>
    <n v="540061.82999999996"/>
    <n v="1018606.33"/>
    <x v="0"/>
    <n v="0.71333333333333337"/>
  </r>
  <r>
    <s v="SK1640"/>
    <x v="1"/>
    <s v="JFK"/>
    <s v="BLR"/>
    <d v="2026-08-27T00:00:00"/>
    <n v="97"/>
    <x v="2"/>
    <x v="2"/>
    <n v="108"/>
    <n v="1465781.29"/>
    <n v="174316.97"/>
    <n v="1291464.32"/>
    <x v="0"/>
    <n v="0.6"/>
  </r>
  <r>
    <s v="SK1641"/>
    <x v="11"/>
    <s v="BLR"/>
    <s v="CCU"/>
    <d v="2026-10-08T00:00:00"/>
    <n v="316"/>
    <x v="1"/>
    <x v="2"/>
    <n v="180"/>
    <n v="882403.71"/>
    <n v="355827.89"/>
    <n v="526575.81999999995"/>
    <x v="9"/>
    <n v="1"/>
  </r>
  <r>
    <s v="SK1642"/>
    <x v="1"/>
    <s v="JFK"/>
    <s v="BLR"/>
    <d v="2026-05-11T00:00:00"/>
    <n v="116"/>
    <x v="3"/>
    <x v="0"/>
    <n v="258"/>
    <n v="870637.18"/>
    <n v="286509.48"/>
    <n v="584127.70000000007"/>
    <x v="6"/>
    <n v="0.86"/>
  </r>
  <r>
    <s v="SK1643"/>
    <x v="50"/>
    <s v="BLR"/>
    <s v="JFK"/>
    <d v="2026-07-23T00:00:00"/>
    <n v="441"/>
    <x v="2"/>
    <x v="0"/>
    <n v="110"/>
    <n v="604353.71"/>
    <n v="621598.71"/>
    <n v="-17245"/>
    <x v="5"/>
    <n v="0.36666666666666664"/>
  </r>
  <r>
    <s v="SK1644"/>
    <x v="81"/>
    <s v="BKK"/>
    <s v="MAA"/>
    <d v="2026-03-21T00:00:00"/>
    <n v="532"/>
    <x v="0"/>
    <x v="3"/>
    <n v="161"/>
    <n v="1466546.09"/>
    <n v="699978.67"/>
    <n v="766567.42"/>
    <x v="4"/>
    <n v="0.64400000000000002"/>
  </r>
  <r>
    <s v="SK1645"/>
    <x v="5"/>
    <s v="MAA"/>
    <s v="SIN"/>
    <d v="2026-04-27T00:00:00"/>
    <n v="174"/>
    <x v="0"/>
    <x v="1"/>
    <n v="95"/>
    <n v="333108.53000000003"/>
    <n v="222448.75"/>
    <n v="110659.78000000003"/>
    <x v="7"/>
    <n v="0.6333333333333333"/>
  </r>
  <r>
    <s v="SK1646"/>
    <x v="78"/>
    <s v="SIN"/>
    <s v="LHR"/>
    <d v="2026-02-27T00:00:00"/>
    <n v="122"/>
    <x v="1"/>
    <x v="0"/>
    <n v="242"/>
    <n v="2627454.15"/>
    <n v="244313.35"/>
    <n v="2383140.7999999998"/>
    <x v="3"/>
    <n v="0.80666666666666664"/>
  </r>
  <r>
    <s v="SK1647"/>
    <x v="41"/>
    <s v="BKK"/>
    <s v="BLR"/>
    <d v="2026-07-08T00:00:00"/>
    <n v="523"/>
    <x v="1"/>
    <x v="3"/>
    <n v="51"/>
    <n v="470727.78"/>
    <n v="495618.88"/>
    <n v="-24891.099999999977"/>
    <x v="5"/>
    <n v="0.20399999999999999"/>
  </r>
  <r>
    <s v="SK1648"/>
    <x v="79"/>
    <s v="DEL"/>
    <s v="CCU"/>
    <d v="2026-02-23T00:00:00"/>
    <n v="237"/>
    <x v="3"/>
    <x v="3"/>
    <n v="80"/>
    <n v="330949.36"/>
    <n v="405396.98"/>
    <n v="-74447.62"/>
    <x v="3"/>
    <n v="0.32"/>
  </r>
  <r>
    <s v="SK1649"/>
    <x v="6"/>
    <s v="DXB"/>
    <s v="DEL"/>
    <d v="2026-10-02T00:00:00"/>
    <n v="182"/>
    <x v="3"/>
    <x v="2"/>
    <n v="156"/>
    <n v="935816.02"/>
    <n v="189357.54"/>
    <n v="746458.48"/>
    <x v="9"/>
    <n v="0.8666666666666667"/>
  </r>
  <r>
    <s v="SK1650"/>
    <x v="83"/>
    <s v="BOM"/>
    <s v="DEL"/>
    <d v="2026-09-16T00:00:00"/>
    <n v="275"/>
    <x v="0"/>
    <x v="1"/>
    <n v="66"/>
    <n v="268900"/>
    <n v="296002.32"/>
    <n v="-27102.320000000007"/>
    <x v="8"/>
    <n v="0.44"/>
  </r>
  <r>
    <s v="SK1651"/>
    <x v="74"/>
    <s v="LHR"/>
    <s v="BKK"/>
    <d v="2026-04-23T00:00:00"/>
    <n v="359"/>
    <x v="1"/>
    <x v="2"/>
    <n v="113"/>
    <n v="605093.68999999994"/>
    <n v="442915.94"/>
    <n v="162177.74999999994"/>
    <x v="7"/>
    <n v="0.62777777777777777"/>
  </r>
  <r>
    <s v="SK1652"/>
    <x v="6"/>
    <s v="DXB"/>
    <s v="DEL"/>
    <d v="2026-03-15T00:00:00"/>
    <n v="243"/>
    <x v="0"/>
    <x v="2"/>
    <n v="178"/>
    <n v="1516779.21"/>
    <n v="244405.37"/>
    <n v="1272373.8399999999"/>
    <x v="4"/>
    <n v="0.98888888888888893"/>
  </r>
  <r>
    <s v="SK1653"/>
    <x v="6"/>
    <s v="DXB"/>
    <s v="DEL"/>
    <d v="2026-07-08T00:00:00"/>
    <n v="447"/>
    <x v="2"/>
    <x v="2"/>
    <n v="180"/>
    <n v="2359522.08"/>
    <n v="551493.80000000005"/>
    <n v="1808028.28"/>
    <x v="5"/>
    <n v="1"/>
  </r>
  <r>
    <s v="SK1654"/>
    <x v="74"/>
    <s v="LHR"/>
    <s v="BKK"/>
    <d v="2026-10-21T00:00:00"/>
    <n v="326"/>
    <x v="2"/>
    <x v="1"/>
    <n v="109"/>
    <n v="1613721.27"/>
    <n v="457235.11"/>
    <n v="1156486.1600000001"/>
    <x v="9"/>
    <n v="0.72666666666666668"/>
  </r>
  <r>
    <s v="SK1655"/>
    <x v="57"/>
    <s v="MAA"/>
    <s v="DEL"/>
    <d v="2026-02-13T00:00:00"/>
    <n v="203"/>
    <x v="2"/>
    <x v="1"/>
    <n v="61"/>
    <n v="659377.05000000005"/>
    <n v="263773.39"/>
    <n v="395603.66000000003"/>
    <x v="3"/>
    <n v="0.40666666666666668"/>
  </r>
  <r>
    <s v="SK1656"/>
    <x v="89"/>
    <s v="BLR"/>
    <s v="LHR"/>
    <d v="2026-07-24T00:00:00"/>
    <n v="531"/>
    <x v="3"/>
    <x v="1"/>
    <n v="144"/>
    <n v="445838.07"/>
    <n v="375846.31"/>
    <n v="69991.760000000009"/>
    <x v="5"/>
    <n v="0.96"/>
  </r>
  <r>
    <s v="SK1657"/>
    <x v="15"/>
    <s v="JFK"/>
    <s v="DXB"/>
    <d v="2026-09-05T00:00:00"/>
    <n v="179"/>
    <x v="0"/>
    <x v="1"/>
    <n v="109"/>
    <n v="1547794.88"/>
    <n v="272100.42"/>
    <n v="1275694.46"/>
    <x v="8"/>
    <n v="0.72666666666666668"/>
  </r>
  <r>
    <s v="SK1658"/>
    <x v="50"/>
    <s v="BLR"/>
    <s v="JFK"/>
    <d v="2026-05-12T00:00:00"/>
    <n v="180"/>
    <x v="2"/>
    <x v="2"/>
    <n v="171"/>
    <n v="2454969"/>
    <n v="232289.72"/>
    <n v="2222679.2799999998"/>
    <x v="6"/>
    <n v="0.95"/>
  </r>
  <r>
    <s v="SK1659"/>
    <x v="23"/>
    <s v="SIN"/>
    <s v="DEL"/>
    <d v="2026-03-28T00:00:00"/>
    <n v="141"/>
    <x v="3"/>
    <x v="3"/>
    <n v="91"/>
    <n v="534218.51"/>
    <n v="273174.51"/>
    <n v="261044"/>
    <x v="4"/>
    <n v="0.36399999999999999"/>
  </r>
  <r>
    <s v="SK1660"/>
    <x v="28"/>
    <s v="LHR"/>
    <s v="CCU"/>
    <d v="2026-08-14T00:00:00"/>
    <n v="540"/>
    <x v="3"/>
    <x v="0"/>
    <n v="250"/>
    <n v="2671449.88"/>
    <n v="518071.79"/>
    <n v="2153378.09"/>
    <x v="0"/>
    <n v="0.83333333333333337"/>
  </r>
  <r>
    <s v="SK1661"/>
    <x v="51"/>
    <s v="DEL"/>
    <s v="BKK"/>
    <d v="2026-03-13T00:00:00"/>
    <n v="580"/>
    <x v="2"/>
    <x v="1"/>
    <n v="146"/>
    <n v="545251.59"/>
    <n v="604911.93000000005"/>
    <n v="-59660.340000000084"/>
    <x v="4"/>
    <n v="0.97333333333333338"/>
  </r>
  <r>
    <s v="SK1662"/>
    <x v="52"/>
    <s v="BLR"/>
    <s v="SIN"/>
    <d v="2026-07-15T00:00:00"/>
    <n v="409"/>
    <x v="1"/>
    <x v="3"/>
    <n v="136"/>
    <n v="1951339.21"/>
    <n v="446575.87"/>
    <n v="1504763.3399999999"/>
    <x v="5"/>
    <n v="0.54400000000000004"/>
  </r>
  <r>
    <s v="SK1663"/>
    <x v="77"/>
    <s v="DEL"/>
    <s v="BLR"/>
    <d v="2026-06-22T00:00:00"/>
    <n v="63"/>
    <x v="3"/>
    <x v="0"/>
    <n v="267"/>
    <n v="3433199.99"/>
    <n v="182759.98"/>
    <n v="3250440.0100000002"/>
    <x v="2"/>
    <n v="0.89"/>
  </r>
  <r>
    <s v="SK1664"/>
    <x v="6"/>
    <s v="DXB"/>
    <s v="DEL"/>
    <d v="2026-07-07T00:00:00"/>
    <n v="401"/>
    <x v="3"/>
    <x v="3"/>
    <n v="165"/>
    <n v="1568753.95"/>
    <n v="367071.89"/>
    <n v="1201682.06"/>
    <x v="5"/>
    <n v="0.66"/>
  </r>
  <r>
    <s v="SK1665"/>
    <x v="83"/>
    <s v="BOM"/>
    <s v="DEL"/>
    <d v="2026-04-07T00:00:00"/>
    <n v="555"/>
    <x v="0"/>
    <x v="1"/>
    <n v="71"/>
    <n v="214094.33"/>
    <n v="399181.87"/>
    <n v="-185087.54"/>
    <x v="7"/>
    <n v="0.47333333333333333"/>
  </r>
  <r>
    <s v="SK1666"/>
    <x v="18"/>
    <s v="DXB"/>
    <s v="LHR"/>
    <d v="2026-01-06T00:00:00"/>
    <n v="576"/>
    <x v="0"/>
    <x v="0"/>
    <n v="67"/>
    <n v="1003056.4"/>
    <n v="795615.06"/>
    <n v="207441.33999999997"/>
    <x v="1"/>
    <n v="0.22333333333333333"/>
  </r>
  <r>
    <s v="SK1667"/>
    <x v="43"/>
    <s v="MAA"/>
    <s v="CCU"/>
    <d v="2026-06-27T00:00:00"/>
    <n v="154"/>
    <x v="2"/>
    <x v="3"/>
    <n v="195"/>
    <n v="2552080.39"/>
    <n v="293375.63"/>
    <n v="2258704.7600000002"/>
    <x v="2"/>
    <n v="0.78"/>
  </r>
  <r>
    <s v="SK1668"/>
    <x v="57"/>
    <s v="MAA"/>
    <s v="DEL"/>
    <d v="2026-02-07T00:00:00"/>
    <n v="203"/>
    <x v="1"/>
    <x v="1"/>
    <n v="150"/>
    <n v="2198195.84"/>
    <n v="238744.58"/>
    <n v="1959451.2599999998"/>
    <x v="3"/>
    <n v="1"/>
  </r>
  <r>
    <s v="SK1669"/>
    <x v="30"/>
    <s v="DEL"/>
    <s v="LHR"/>
    <d v="2026-08-02T00:00:00"/>
    <n v="499"/>
    <x v="1"/>
    <x v="1"/>
    <n v="131"/>
    <n v="1809651.22"/>
    <n v="586708.68999999994"/>
    <n v="1222942.53"/>
    <x v="0"/>
    <n v="0.87333333333333329"/>
  </r>
  <r>
    <s v="SK1670"/>
    <x v="65"/>
    <s v="CCU"/>
    <s v="BKK"/>
    <d v="2026-01-23T00:00:00"/>
    <n v="296"/>
    <x v="2"/>
    <x v="3"/>
    <n v="204"/>
    <n v="670468.5"/>
    <n v="366245.02"/>
    <n v="304223.48"/>
    <x v="1"/>
    <n v="0.81599999999999995"/>
  </r>
  <r>
    <s v="SK1671"/>
    <x v="8"/>
    <s v="DXB"/>
    <s v="MAA"/>
    <d v="2026-02-18T00:00:00"/>
    <n v="260"/>
    <x v="1"/>
    <x v="2"/>
    <n v="169"/>
    <n v="547666.9"/>
    <n v="382065.46"/>
    <n v="165601.44"/>
    <x v="3"/>
    <n v="0.93888888888888888"/>
  </r>
  <r>
    <s v="SK1672"/>
    <x v="31"/>
    <s v="DEL"/>
    <s v="DXB"/>
    <d v="2026-02-10T00:00:00"/>
    <n v="313"/>
    <x v="0"/>
    <x v="3"/>
    <n v="118"/>
    <n v="777401.95"/>
    <n v="350866.64"/>
    <n v="426535.30999999994"/>
    <x v="3"/>
    <n v="0.47199999999999998"/>
  </r>
  <r>
    <s v="SK1673"/>
    <x v="60"/>
    <s v="LHR"/>
    <s v="SIN"/>
    <d v="2026-03-18T00:00:00"/>
    <n v="347"/>
    <x v="2"/>
    <x v="3"/>
    <n v="159"/>
    <n v="2335973.87"/>
    <n v="538079.11"/>
    <n v="1797894.7600000002"/>
    <x v="4"/>
    <n v="0.63600000000000001"/>
  </r>
  <r>
    <s v="SK1674"/>
    <x v="31"/>
    <s v="DEL"/>
    <s v="DXB"/>
    <d v="2026-08-16T00:00:00"/>
    <n v="222"/>
    <x v="0"/>
    <x v="0"/>
    <n v="244"/>
    <n v="1006229.02"/>
    <n v="380361.09"/>
    <n v="625867.92999999993"/>
    <x v="0"/>
    <n v="0.81333333333333335"/>
  </r>
  <r>
    <s v="SK1675"/>
    <x v="1"/>
    <s v="JFK"/>
    <s v="BLR"/>
    <d v="2026-05-27T00:00:00"/>
    <n v="318"/>
    <x v="1"/>
    <x v="3"/>
    <n v="192"/>
    <n v="868248.41"/>
    <n v="386824.55"/>
    <n v="481423.86000000004"/>
    <x v="6"/>
    <n v="0.76800000000000002"/>
  </r>
  <r>
    <s v="SK1676"/>
    <x v="25"/>
    <s v="BLR"/>
    <s v="DEL"/>
    <d v="2026-04-01T00:00:00"/>
    <n v="163"/>
    <x v="1"/>
    <x v="3"/>
    <n v="132"/>
    <n v="1273823.1100000001"/>
    <n v="293447.93"/>
    <n v="980375.18000000017"/>
    <x v="7"/>
    <n v="0.52800000000000002"/>
  </r>
  <r>
    <s v="SK1677"/>
    <x v="24"/>
    <s v="BOM"/>
    <s v="BKK"/>
    <d v="2026-04-22T00:00:00"/>
    <n v="224"/>
    <x v="0"/>
    <x v="3"/>
    <n v="119"/>
    <n v="1674055.5"/>
    <n v="303780.05"/>
    <n v="1370275.45"/>
    <x v="7"/>
    <n v="0.47599999999999998"/>
  </r>
  <r>
    <s v="SK1678"/>
    <x v="18"/>
    <s v="DXB"/>
    <s v="LHR"/>
    <d v="2026-07-02T00:00:00"/>
    <n v="242"/>
    <x v="0"/>
    <x v="3"/>
    <n v="237"/>
    <n v="2211086.1800000002"/>
    <n v="269906.76"/>
    <n v="1941179.4200000002"/>
    <x v="5"/>
    <n v="0.94799999999999995"/>
  </r>
  <r>
    <s v="SK1679"/>
    <x v="67"/>
    <s v="BLR"/>
    <s v="MAA"/>
    <d v="2026-01-28T00:00:00"/>
    <n v="131"/>
    <x v="3"/>
    <x v="0"/>
    <n v="161"/>
    <n v="1785549.81"/>
    <n v="227739.1"/>
    <n v="1557810.71"/>
    <x v="1"/>
    <n v="0.53666666666666663"/>
  </r>
  <r>
    <s v="SK1680"/>
    <x v="62"/>
    <s v="JFK"/>
    <s v="CCU"/>
    <d v="2026-10-25T00:00:00"/>
    <n v="479"/>
    <x v="2"/>
    <x v="0"/>
    <n v="186"/>
    <n v="2377871.52"/>
    <n v="687688.58"/>
    <n v="1690182.94"/>
    <x v="9"/>
    <n v="0.62"/>
  </r>
  <r>
    <s v="SK1681"/>
    <x v="69"/>
    <s v="MAA"/>
    <s v="BLR"/>
    <d v="2026-04-26T00:00:00"/>
    <n v="586"/>
    <x v="1"/>
    <x v="0"/>
    <n v="62"/>
    <n v="477303.6"/>
    <n v="735604.57"/>
    <n v="-258300.96999999997"/>
    <x v="7"/>
    <n v="0.20666666666666667"/>
  </r>
  <r>
    <s v="SK1682"/>
    <x v="68"/>
    <s v="BKK"/>
    <s v="CCU"/>
    <d v="2026-03-28T00:00:00"/>
    <n v="497"/>
    <x v="2"/>
    <x v="2"/>
    <n v="114"/>
    <n v="750413.56"/>
    <n v="659870.24"/>
    <n v="90543.320000000065"/>
    <x v="4"/>
    <n v="0.6333333333333333"/>
  </r>
  <r>
    <s v="SK1683"/>
    <x v="10"/>
    <s v="DXB"/>
    <s v="SIN"/>
    <d v="2026-03-07T00:00:00"/>
    <n v="287"/>
    <x v="2"/>
    <x v="0"/>
    <n v="109"/>
    <n v="702155"/>
    <n v="352490.75"/>
    <n v="349664.25"/>
    <x v="4"/>
    <n v="0.36333333333333334"/>
  </r>
  <r>
    <s v="SK1684"/>
    <x v="2"/>
    <s v="DEL"/>
    <s v="JFK"/>
    <d v="2026-02-02T00:00:00"/>
    <n v="319"/>
    <x v="3"/>
    <x v="3"/>
    <n v="140"/>
    <n v="1641580.41"/>
    <n v="284660.07"/>
    <n v="1356920.3399999999"/>
    <x v="3"/>
    <n v="0.56000000000000005"/>
  </r>
  <r>
    <s v="SK1685"/>
    <x v="16"/>
    <s v="CCU"/>
    <s v="DEL"/>
    <d v="2026-08-22T00:00:00"/>
    <n v="234"/>
    <x v="1"/>
    <x v="1"/>
    <n v="150"/>
    <n v="2233282.61"/>
    <n v="232559.68"/>
    <n v="2000722.93"/>
    <x v="0"/>
    <n v="1"/>
  </r>
  <r>
    <s v="SK1686"/>
    <x v="80"/>
    <s v="CCU"/>
    <s v="DXB"/>
    <d v="2026-08-05T00:00:00"/>
    <n v="90"/>
    <x v="2"/>
    <x v="3"/>
    <n v="173"/>
    <n v="1815197.72"/>
    <n v="211157.24"/>
    <n v="1604040.48"/>
    <x v="0"/>
    <n v="0.69199999999999995"/>
  </r>
  <r>
    <s v="SK1687"/>
    <x v="44"/>
    <s v="JFK"/>
    <s v="MAA"/>
    <d v="2026-02-04T00:00:00"/>
    <n v="326"/>
    <x v="2"/>
    <x v="0"/>
    <n v="170"/>
    <n v="1310459.49"/>
    <n v="405470.09"/>
    <n v="904989.39999999991"/>
    <x v="3"/>
    <n v="0.56666666666666665"/>
  </r>
  <r>
    <s v="SK1688"/>
    <x v="56"/>
    <s v="JFK"/>
    <s v="BOM"/>
    <d v="2026-08-17T00:00:00"/>
    <n v="145"/>
    <x v="3"/>
    <x v="0"/>
    <n v="194"/>
    <n v="1678682.92"/>
    <n v="264231.62"/>
    <n v="1414451.2999999998"/>
    <x v="0"/>
    <n v="0.64666666666666661"/>
  </r>
  <r>
    <s v="SK1689"/>
    <x v="63"/>
    <s v="DXB"/>
    <s v="BOM"/>
    <d v="2026-06-13T00:00:00"/>
    <n v="228"/>
    <x v="3"/>
    <x v="2"/>
    <n v="64"/>
    <n v="834472.24"/>
    <n v="285763.14"/>
    <n v="548709.1"/>
    <x v="2"/>
    <n v="0.35555555555555557"/>
  </r>
  <r>
    <s v="SK1690"/>
    <x v="85"/>
    <s v="SIN"/>
    <s v="DXB"/>
    <d v="2026-08-11T00:00:00"/>
    <n v="440"/>
    <x v="1"/>
    <x v="0"/>
    <n v="234"/>
    <n v="1590382.14"/>
    <n v="669728.56999999995"/>
    <n v="920653.57"/>
    <x v="0"/>
    <n v="0.78"/>
  </r>
  <r>
    <s v="SK1691"/>
    <x v="80"/>
    <s v="CCU"/>
    <s v="DXB"/>
    <d v="2026-02-10T00:00:00"/>
    <n v="355"/>
    <x v="0"/>
    <x v="1"/>
    <n v="115"/>
    <n v="1547345.27"/>
    <n v="256338.69"/>
    <n v="1291006.58"/>
    <x v="3"/>
    <n v="0.76666666666666672"/>
  </r>
  <r>
    <s v="SK1692"/>
    <x v="36"/>
    <s v="JFK"/>
    <s v="LHR"/>
    <d v="2026-08-04T00:00:00"/>
    <n v="151"/>
    <x v="0"/>
    <x v="3"/>
    <n v="212"/>
    <n v="1170360.43"/>
    <n v="242154.64"/>
    <n v="928205.78999999992"/>
    <x v="0"/>
    <n v="0.84799999999999998"/>
  </r>
  <r>
    <s v="SK1693"/>
    <x v="71"/>
    <s v="DXB"/>
    <s v="BKK"/>
    <d v="2026-10-11T00:00:00"/>
    <n v="418"/>
    <x v="2"/>
    <x v="2"/>
    <n v="70"/>
    <n v="953338.47"/>
    <n v="467836.17"/>
    <n v="485502.3"/>
    <x v="9"/>
    <n v="0.3888888888888889"/>
  </r>
  <r>
    <s v="SK1694"/>
    <x v="31"/>
    <s v="DEL"/>
    <s v="DXB"/>
    <d v="2026-03-29T00:00:00"/>
    <n v="468"/>
    <x v="0"/>
    <x v="3"/>
    <n v="141"/>
    <n v="1255829.78"/>
    <n v="647501.13"/>
    <n v="608328.65"/>
    <x v="4"/>
    <n v="0.56399999999999995"/>
  </r>
  <r>
    <s v="SK1695"/>
    <x v="2"/>
    <s v="DEL"/>
    <s v="JFK"/>
    <d v="2026-01-26T00:00:00"/>
    <n v="488"/>
    <x v="0"/>
    <x v="1"/>
    <n v="146"/>
    <n v="1202300.27"/>
    <n v="651018.41"/>
    <n v="551281.86"/>
    <x v="1"/>
    <n v="0.97333333333333338"/>
  </r>
  <r>
    <s v="SK1696"/>
    <x v="16"/>
    <s v="CCU"/>
    <s v="DEL"/>
    <d v="2026-06-04T00:00:00"/>
    <n v="540"/>
    <x v="1"/>
    <x v="2"/>
    <n v="149"/>
    <n v="1822420"/>
    <n v="585561.29"/>
    <n v="1236858.71"/>
    <x v="2"/>
    <n v="0.82777777777777772"/>
  </r>
  <r>
    <s v="SK1697"/>
    <x v="0"/>
    <s v="JFK"/>
    <s v="DEL"/>
    <d v="2026-07-26T00:00:00"/>
    <n v="523"/>
    <x v="1"/>
    <x v="3"/>
    <n v="59"/>
    <n v="635658.18999999994"/>
    <n v="463210.63"/>
    <n v="172447.55999999994"/>
    <x v="5"/>
    <n v="0.23599999999999999"/>
  </r>
  <r>
    <s v="SK1698"/>
    <x v="50"/>
    <s v="BLR"/>
    <s v="JFK"/>
    <d v="2026-06-06T00:00:00"/>
    <n v="522"/>
    <x v="0"/>
    <x v="0"/>
    <n v="87"/>
    <n v="1194100.25"/>
    <n v="604592.23"/>
    <n v="589508.02"/>
    <x v="2"/>
    <n v="0.28999999999999998"/>
  </r>
  <r>
    <s v="SK1699"/>
    <x v="70"/>
    <s v="CCU"/>
    <s v="SIN"/>
    <d v="2026-05-08T00:00:00"/>
    <n v="192"/>
    <x v="0"/>
    <x v="1"/>
    <n v="79"/>
    <n v="809715.84"/>
    <n v="296773.62"/>
    <n v="512942.22"/>
    <x v="6"/>
    <n v="0.52666666666666662"/>
  </r>
  <r>
    <s v="SK1700"/>
    <x v="59"/>
    <s v="MAA"/>
    <s v="BOM"/>
    <d v="2026-02-18T00:00:00"/>
    <n v="560"/>
    <x v="2"/>
    <x v="2"/>
    <n v="126"/>
    <n v="1450281.22"/>
    <n v="448533.21"/>
    <n v="1001748.01"/>
    <x v="3"/>
    <n v="0.7"/>
  </r>
  <r>
    <s v="SK1701"/>
    <x v="18"/>
    <s v="DXB"/>
    <s v="LHR"/>
    <d v="2026-03-02T00:00:00"/>
    <n v="497"/>
    <x v="1"/>
    <x v="1"/>
    <n v="144"/>
    <n v="1563452.5"/>
    <n v="402969.35"/>
    <n v="1160483.1499999999"/>
    <x v="4"/>
    <n v="0.96"/>
  </r>
  <r>
    <s v="SK1702"/>
    <x v="85"/>
    <s v="SIN"/>
    <s v="DXB"/>
    <d v="2026-09-06T00:00:00"/>
    <n v="557"/>
    <x v="1"/>
    <x v="1"/>
    <n v="79"/>
    <n v="524714.43000000005"/>
    <n v="488149.62"/>
    <n v="36564.810000000056"/>
    <x v="8"/>
    <n v="0.52666666666666662"/>
  </r>
  <r>
    <s v="SK1703"/>
    <x v="88"/>
    <s v="CCU"/>
    <s v="BLR"/>
    <d v="2026-10-14T00:00:00"/>
    <n v="564"/>
    <x v="3"/>
    <x v="0"/>
    <n v="290"/>
    <n v="3085691.34"/>
    <n v="519344.69"/>
    <n v="2566346.65"/>
    <x v="9"/>
    <n v="0.96666666666666667"/>
  </r>
  <r>
    <s v="SK1704"/>
    <x v="11"/>
    <s v="BLR"/>
    <s v="CCU"/>
    <d v="2026-07-21T00:00:00"/>
    <n v="475"/>
    <x v="1"/>
    <x v="2"/>
    <n v="78"/>
    <n v="659339.29"/>
    <n v="575260.65"/>
    <n v="84078.640000000014"/>
    <x v="5"/>
    <n v="0.43333333333333335"/>
  </r>
  <r>
    <s v="SK1705"/>
    <x v="63"/>
    <s v="DXB"/>
    <s v="BOM"/>
    <d v="2026-09-06T00:00:00"/>
    <n v="280"/>
    <x v="2"/>
    <x v="3"/>
    <n v="70"/>
    <n v="293133.64"/>
    <n v="318190.75"/>
    <n v="-25057.109999999986"/>
    <x v="8"/>
    <n v="0.28000000000000003"/>
  </r>
  <r>
    <s v="SK1706"/>
    <x v="84"/>
    <s v="MAA"/>
    <s v="JFK"/>
    <d v="2026-02-02T00:00:00"/>
    <n v="121"/>
    <x v="2"/>
    <x v="3"/>
    <n v="144"/>
    <n v="485870.24"/>
    <n v="259205.66"/>
    <n v="226664.58"/>
    <x v="3"/>
    <n v="0.57599999999999996"/>
  </r>
  <r>
    <s v="SK1707"/>
    <x v="16"/>
    <s v="CCU"/>
    <s v="DEL"/>
    <d v="2026-01-01T00:00:00"/>
    <n v="494"/>
    <x v="3"/>
    <x v="0"/>
    <n v="245"/>
    <n v="2624754.5699999998"/>
    <n v="510343.28"/>
    <n v="2114411.29"/>
    <x v="1"/>
    <n v="0.81666666666666665"/>
  </r>
  <r>
    <s v="SK1708"/>
    <x v="16"/>
    <s v="CCU"/>
    <s v="DEL"/>
    <d v="2026-04-15T00:00:00"/>
    <n v="502"/>
    <x v="0"/>
    <x v="1"/>
    <n v="65"/>
    <n v="545316.26"/>
    <n v="526531.53"/>
    <n v="18784.729999999981"/>
    <x v="7"/>
    <n v="0.43333333333333335"/>
  </r>
  <r>
    <s v="SK1709"/>
    <x v="10"/>
    <s v="DXB"/>
    <s v="SIN"/>
    <d v="2026-07-05T00:00:00"/>
    <n v="101"/>
    <x v="2"/>
    <x v="1"/>
    <n v="136"/>
    <n v="997911.42"/>
    <n v="180482"/>
    <n v="817429.42"/>
    <x v="5"/>
    <n v="0.90666666666666662"/>
  </r>
  <r>
    <s v="SK1710"/>
    <x v="65"/>
    <s v="CCU"/>
    <s v="BKK"/>
    <d v="2026-03-15T00:00:00"/>
    <n v="395"/>
    <x v="1"/>
    <x v="2"/>
    <n v="126"/>
    <n v="1048300.33"/>
    <n v="449491.13"/>
    <n v="598809.19999999995"/>
    <x v="4"/>
    <n v="0.7"/>
  </r>
  <r>
    <s v="SK1711"/>
    <x v="74"/>
    <s v="LHR"/>
    <s v="BKK"/>
    <d v="2026-08-23T00:00:00"/>
    <n v="391"/>
    <x v="3"/>
    <x v="1"/>
    <n v="121"/>
    <n v="1748784.3"/>
    <n v="519742.99"/>
    <n v="1229041.31"/>
    <x v="0"/>
    <n v="0.80666666666666664"/>
  </r>
  <r>
    <s v="SK1712"/>
    <x v="15"/>
    <s v="JFK"/>
    <s v="DXB"/>
    <d v="2026-01-14T00:00:00"/>
    <n v="587"/>
    <x v="3"/>
    <x v="3"/>
    <n v="91"/>
    <n v="997391.97"/>
    <n v="586244.80000000005"/>
    <n v="411147.16999999993"/>
    <x v="1"/>
    <n v="0.36399999999999999"/>
  </r>
  <r>
    <s v="SK1713"/>
    <x v="70"/>
    <s v="CCU"/>
    <s v="SIN"/>
    <d v="2026-04-22T00:00:00"/>
    <n v="333"/>
    <x v="0"/>
    <x v="1"/>
    <n v="134"/>
    <n v="591645.39"/>
    <n v="394166.77"/>
    <n v="197478.62"/>
    <x v="7"/>
    <n v="0.89333333333333331"/>
  </r>
  <r>
    <s v="SK1714"/>
    <x v="47"/>
    <s v="LHR"/>
    <s v="DXB"/>
    <d v="2026-01-05T00:00:00"/>
    <n v="505"/>
    <x v="2"/>
    <x v="0"/>
    <n v="135"/>
    <n v="507927.87"/>
    <n v="542573.43999999994"/>
    <n v="-34645.569999999949"/>
    <x v="1"/>
    <n v="0.45"/>
  </r>
  <r>
    <s v="SK1715"/>
    <x v="5"/>
    <s v="MAA"/>
    <s v="SIN"/>
    <d v="2026-09-23T00:00:00"/>
    <n v="377"/>
    <x v="2"/>
    <x v="1"/>
    <n v="119"/>
    <n v="790717.66"/>
    <n v="506570.23999999999"/>
    <n v="284147.42000000004"/>
    <x v="8"/>
    <n v="0.79333333333333333"/>
  </r>
  <r>
    <s v="SK1716"/>
    <x v="14"/>
    <s v="BOM"/>
    <s v="SIN"/>
    <d v="2026-04-09T00:00:00"/>
    <n v="93"/>
    <x v="1"/>
    <x v="2"/>
    <n v="159"/>
    <n v="1971517.5"/>
    <n v="199177.29"/>
    <n v="1772340.21"/>
    <x v="7"/>
    <n v="0.8833333333333333"/>
  </r>
  <r>
    <s v="SK1717"/>
    <x v="43"/>
    <s v="MAA"/>
    <s v="CCU"/>
    <d v="2026-02-23T00:00:00"/>
    <n v="462"/>
    <x v="3"/>
    <x v="3"/>
    <n v="142"/>
    <n v="757928.64"/>
    <n v="619905.23"/>
    <n v="138023.41000000003"/>
    <x v="3"/>
    <n v="0.56799999999999995"/>
  </r>
  <r>
    <s v="SK1718"/>
    <x v="15"/>
    <s v="JFK"/>
    <s v="DXB"/>
    <d v="2026-02-20T00:00:00"/>
    <n v="550"/>
    <x v="2"/>
    <x v="0"/>
    <n v="74"/>
    <n v="993047.75"/>
    <n v="538465.22"/>
    <n v="454582.53"/>
    <x v="3"/>
    <n v="0.24666666666666667"/>
  </r>
  <r>
    <s v="SK1719"/>
    <x v="46"/>
    <s v="BKK"/>
    <s v="SIN"/>
    <d v="2026-01-10T00:00:00"/>
    <n v="375"/>
    <x v="3"/>
    <x v="1"/>
    <n v="99"/>
    <n v="694990.18"/>
    <n v="316911.65999999997"/>
    <n v="378078.52000000008"/>
    <x v="1"/>
    <n v="0.66"/>
  </r>
  <r>
    <s v="SK1720"/>
    <x v="49"/>
    <s v="JFK"/>
    <s v="BKK"/>
    <d v="2026-02-04T00:00:00"/>
    <n v="77"/>
    <x v="2"/>
    <x v="1"/>
    <n v="123"/>
    <n v="1349173.4"/>
    <n v="127249.2"/>
    <n v="1221924.2"/>
    <x v="3"/>
    <n v="0.82"/>
  </r>
  <r>
    <s v="SK1721"/>
    <x v="7"/>
    <s v="DXB"/>
    <s v="CCU"/>
    <d v="2026-09-09T00:00:00"/>
    <n v="71"/>
    <x v="2"/>
    <x v="0"/>
    <n v="261"/>
    <n v="1115384.81"/>
    <n v="219725.66"/>
    <n v="895659.15"/>
    <x v="8"/>
    <n v="0.87"/>
  </r>
  <r>
    <s v="SK1722"/>
    <x v="5"/>
    <s v="MAA"/>
    <s v="SIN"/>
    <d v="2026-08-15T00:00:00"/>
    <n v="596"/>
    <x v="3"/>
    <x v="3"/>
    <n v="128"/>
    <n v="1289213.4099999999"/>
    <n v="642088.76"/>
    <n v="647124.64999999991"/>
    <x v="0"/>
    <n v="0.51200000000000001"/>
  </r>
  <r>
    <s v="SK1723"/>
    <x v="41"/>
    <s v="BKK"/>
    <s v="BLR"/>
    <d v="2026-10-15T00:00:00"/>
    <n v="368"/>
    <x v="0"/>
    <x v="2"/>
    <n v="118"/>
    <n v="498084.41"/>
    <n v="286661.71999999997"/>
    <n v="211422.69"/>
    <x v="9"/>
    <n v="0.65555555555555556"/>
  </r>
  <r>
    <s v="SK1724"/>
    <x v="73"/>
    <s v="BKK"/>
    <s v="JFK"/>
    <d v="2026-07-16T00:00:00"/>
    <n v="352"/>
    <x v="2"/>
    <x v="1"/>
    <n v="52"/>
    <n v="725840.52"/>
    <n v="447578.5"/>
    <n v="278262.02"/>
    <x v="5"/>
    <n v="0.34666666666666668"/>
  </r>
  <r>
    <s v="SK1725"/>
    <x v="7"/>
    <s v="DXB"/>
    <s v="CCU"/>
    <d v="2026-01-08T00:00:00"/>
    <n v="187"/>
    <x v="2"/>
    <x v="0"/>
    <n v="175"/>
    <n v="910261.56"/>
    <n v="342775.03999999998"/>
    <n v="567486.52"/>
    <x v="1"/>
    <n v="0.58333333333333337"/>
  </r>
  <r>
    <s v="SK1726"/>
    <x v="75"/>
    <s v="DXB"/>
    <s v="JFK"/>
    <d v="2026-07-22T00:00:00"/>
    <n v="88"/>
    <x v="3"/>
    <x v="1"/>
    <n v="122"/>
    <n v="1316470.93"/>
    <n v="129074.41"/>
    <n v="1187396.52"/>
    <x v="5"/>
    <n v="0.81333333333333335"/>
  </r>
  <r>
    <s v="SK1727"/>
    <x v="55"/>
    <s v="LHR"/>
    <s v="BLR"/>
    <d v="2026-05-24T00:00:00"/>
    <n v="78"/>
    <x v="0"/>
    <x v="2"/>
    <n v="163"/>
    <n v="2047635.03"/>
    <n v="135965.22"/>
    <n v="1911669.81"/>
    <x v="6"/>
    <n v="0.90555555555555556"/>
  </r>
  <r>
    <s v="SK1728"/>
    <x v="35"/>
    <s v="DXB"/>
    <s v="BLR"/>
    <d v="2026-09-10T00:00:00"/>
    <n v="199"/>
    <x v="3"/>
    <x v="3"/>
    <n v="174"/>
    <n v="1867555.58"/>
    <n v="228447.41"/>
    <n v="1639108.1700000002"/>
    <x v="8"/>
    <n v="0.69599999999999995"/>
  </r>
  <r>
    <s v="SK1729"/>
    <x v="52"/>
    <s v="BLR"/>
    <s v="SIN"/>
    <d v="2026-05-30T00:00:00"/>
    <n v="302"/>
    <x v="0"/>
    <x v="0"/>
    <n v="208"/>
    <n v="2604906.5099999998"/>
    <n v="431319.83"/>
    <n v="2173586.6799999997"/>
    <x v="6"/>
    <n v="0.69333333333333336"/>
  </r>
  <r>
    <s v="SK1730"/>
    <x v="47"/>
    <s v="LHR"/>
    <s v="DXB"/>
    <d v="2026-02-27T00:00:00"/>
    <n v="551"/>
    <x v="0"/>
    <x v="3"/>
    <n v="101"/>
    <n v="461688.68"/>
    <n v="669032.61"/>
    <n v="-207343.93"/>
    <x v="3"/>
    <n v="0.40400000000000003"/>
  </r>
  <r>
    <s v="SK1731"/>
    <x v="57"/>
    <s v="MAA"/>
    <s v="DEL"/>
    <d v="2026-06-01T00:00:00"/>
    <n v="551"/>
    <x v="2"/>
    <x v="0"/>
    <n v="89"/>
    <n v="763174.39"/>
    <n v="712602.82"/>
    <n v="50571.570000000065"/>
    <x v="2"/>
    <n v="0.29666666666666669"/>
  </r>
  <r>
    <s v="SK1732"/>
    <x v="69"/>
    <s v="MAA"/>
    <s v="BLR"/>
    <d v="2026-09-17T00:00:00"/>
    <n v="518"/>
    <x v="2"/>
    <x v="2"/>
    <n v="134"/>
    <n v="1664395.55"/>
    <n v="646904.06999999995"/>
    <n v="1017491.4800000001"/>
    <x v="8"/>
    <n v="0.74444444444444446"/>
  </r>
  <r>
    <s v="SK1733"/>
    <x v="23"/>
    <s v="SIN"/>
    <s v="DEL"/>
    <d v="2026-04-18T00:00:00"/>
    <n v="457"/>
    <x v="1"/>
    <x v="3"/>
    <n v="165"/>
    <n v="2182828.9900000002"/>
    <n v="528933.46"/>
    <n v="1653895.5300000003"/>
    <x v="7"/>
    <n v="0.66"/>
  </r>
  <r>
    <s v="SK1734"/>
    <x v="12"/>
    <s v="MAA"/>
    <s v="LHR"/>
    <d v="2026-09-06T00:00:00"/>
    <n v="83"/>
    <x v="2"/>
    <x v="0"/>
    <n v="229"/>
    <n v="715429.7"/>
    <n v="227880.71"/>
    <n v="487548.99"/>
    <x v="8"/>
    <n v="0.76333333333333331"/>
  </r>
  <r>
    <s v="SK1735"/>
    <x v="11"/>
    <s v="BLR"/>
    <s v="CCU"/>
    <d v="2026-08-02T00:00:00"/>
    <n v="494"/>
    <x v="2"/>
    <x v="1"/>
    <n v="101"/>
    <n v="1138363.75"/>
    <n v="532146.05000000005"/>
    <n v="606217.69999999995"/>
    <x v="0"/>
    <n v="0.67333333333333334"/>
  </r>
  <r>
    <s v="SK1736"/>
    <x v="32"/>
    <s v="BOM"/>
    <s v="CCU"/>
    <d v="2026-08-15T00:00:00"/>
    <n v="482"/>
    <x v="1"/>
    <x v="3"/>
    <n v="67"/>
    <n v="461479.34"/>
    <n v="564098.61"/>
    <n v="-102619.26999999996"/>
    <x v="0"/>
    <n v="0.26800000000000002"/>
  </r>
  <r>
    <s v="SK1737"/>
    <x v="77"/>
    <s v="DEL"/>
    <s v="BLR"/>
    <d v="2026-06-28T00:00:00"/>
    <n v="297"/>
    <x v="0"/>
    <x v="1"/>
    <n v="55"/>
    <n v="804907.54"/>
    <n v="378646.28"/>
    <n v="426261.26"/>
    <x v="2"/>
    <n v="0.36666666666666664"/>
  </r>
  <r>
    <s v="SK1738"/>
    <x v="31"/>
    <s v="DEL"/>
    <s v="DXB"/>
    <d v="2026-06-19T00:00:00"/>
    <n v="434"/>
    <x v="2"/>
    <x v="1"/>
    <n v="139"/>
    <n v="1011419.55"/>
    <n v="544913.11"/>
    <n v="466506.44000000006"/>
    <x v="2"/>
    <n v="0.92666666666666664"/>
  </r>
  <r>
    <s v="SK1739"/>
    <x v="56"/>
    <s v="JFK"/>
    <s v="BOM"/>
    <d v="2026-07-15T00:00:00"/>
    <n v="359"/>
    <x v="0"/>
    <x v="3"/>
    <n v="109"/>
    <n v="1576457.54"/>
    <n v="527585.14"/>
    <n v="1048872.3999999999"/>
    <x v="5"/>
    <n v="0.436"/>
  </r>
  <r>
    <s v="SK1740"/>
    <x v="42"/>
    <s v="BKK"/>
    <s v="BOM"/>
    <d v="2026-05-03T00:00:00"/>
    <n v="245"/>
    <x v="1"/>
    <x v="0"/>
    <n v="100"/>
    <n v="1137566.1499999999"/>
    <n v="272770.87"/>
    <n v="864795.27999999991"/>
    <x v="6"/>
    <n v="0.33333333333333331"/>
  </r>
  <r>
    <s v="SK1741"/>
    <x v="60"/>
    <s v="LHR"/>
    <s v="SIN"/>
    <d v="2026-08-16T00:00:00"/>
    <n v="534"/>
    <x v="1"/>
    <x v="3"/>
    <n v="111"/>
    <n v="1328424.68"/>
    <n v="411828.55"/>
    <n v="916596.12999999989"/>
    <x v="0"/>
    <n v="0.44400000000000001"/>
  </r>
  <r>
    <s v="SK1742"/>
    <x v="11"/>
    <s v="BLR"/>
    <s v="CCU"/>
    <d v="2026-07-26T00:00:00"/>
    <n v="236"/>
    <x v="0"/>
    <x v="3"/>
    <n v="104"/>
    <n v="1457677.12"/>
    <n v="393641.33"/>
    <n v="1064035.79"/>
    <x v="5"/>
    <n v="0.41599999999999998"/>
  </r>
  <r>
    <s v="SK1743"/>
    <x v="57"/>
    <s v="MAA"/>
    <s v="DEL"/>
    <d v="2026-09-27T00:00:00"/>
    <n v="304"/>
    <x v="3"/>
    <x v="1"/>
    <n v="76"/>
    <n v="785557.6"/>
    <n v="432150.72"/>
    <n v="353406.88"/>
    <x v="8"/>
    <n v="0.50666666666666671"/>
  </r>
  <r>
    <s v="SK1744"/>
    <x v="68"/>
    <s v="BKK"/>
    <s v="CCU"/>
    <d v="2026-08-06T00:00:00"/>
    <n v="337"/>
    <x v="2"/>
    <x v="2"/>
    <n v="96"/>
    <n v="739516.25"/>
    <n v="374092"/>
    <n v="365424.25"/>
    <x v="0"/>
    <n v="0.53333333333333333"/>
  </r>
  <r>
    <s v="SK1745"/>
    <x v="31"/>
    <s v="DEL"/>
    <s v="DXB"/>
    <d v="2026-07-19T00:00:00"/>
    <n v="544"/>
    <x v="2"/>
    <x v="2"/>
    <n v="171"/>
    <n v="884859.43"/>
    <n v="670563.5"/>
    <n v="214295.93000000005"/>
    <x v="5"/>
    <n v="0.95"/>
  </r>
  <r>
    <s v="SK1746"/>
    <x v="86"/>
    <s v="MAA"/>
    <s v="DXB"/>
    <d v="2026-10-04T00:00:00"/>
    <n v="450"/>
    <x v="2"/>
    <x v="1"/>
    <n v="52"/>
    <n v="420883.53"/>
    <n v="397437.13"/>
    <n v="23446.400000000023"/>
    <x v="9"/>
    <n v="0.34666666666666668"/>
  </r>
  <r>
    <s v="SK1747"/>
    <x v="0"/>
    <s v="JFK"/>
    <s v="DEL"/>
    <d v="2026-05-05T00:00:00"/>
    <n v="396"/>
    <x v="2"/>
    <x v="3"/>
    <n v="227"/>
    <n v="1912489.1"/>
    <n v="560613.89"/>
    <n v="1351875.21"/>
    <x v="6"/>
    <n v="0.90800000000000003"/>
  </r>
  <r>
    <s v="SK1748"/>
    <x v="10"/>
    <s v="DXB"/>
    <s v="SIN"/>
    <d v="2026-01-15T00:00:00"/>
    <n v="384"/>
    <x v="2"/>
    <x v="3"/>
    <n v="125"/>
    <n v="1011583.53"/>
    <n v="359137.88"/>
    <n v="652445.65"/>
    <x v="1"/>
    <n v="0.5"/>
  </r>
  <r>
    <s v="SK1749"/>
    <x v="62"/>
    <s v="JFK"/>
    <s v="CCU"/>
    <d v="2026-05-29T00:00:00"/>
    <n v="547"/>
    <x v="2"/>
    <x v="3"/>
    <n v="192"/>
    <n v="617545.75"/>
    <n v="611793.52"/>
    <n v="5752.2299999999814"/>
    <x v="6"/>
    <n v="0.76800000000000002"/>
  </r>
  <r>
    <s v="SK1750"/>
    <x v="29"/>
    <s v="BLR"/>
    <s v="DXB"/>
    <d v="2026-02-03T00:00:00"/>
    <n v="135"/>
    <x v="2"/>
    <x v="0"/>
    <n v="197"/>
    <n v="2184790.16"/>
    <n v="293502.68"/>
    <n v="1891287.4800000002"/>
    <x v="3"/>
    <n v="0.65666666666666662"/>
  </r>
  <r>
    <s v="SK1751"/>
    <x v="79"/>
    <s v="DEL"/>
    <s v="CCU"/>
    <d v="2026-02-18T00:00:00"/>
    <n v="336"/>
    <x v="0"/>
    <x v="2"/>
    <n v="91"/>
    <n v="1015070.61"/>
    <n v="273780.45"/>
    <n v="741290.15999999992"/>
    <x v="3"/>
    <n v="0.50555555555555554"/>
  </r>
  <r>
    <s v="SK1752"/>
    <x v="31"/>
    <s v="DEL"/>
    <s v="DXB"/>
    <d v="2026-02-26T00:00:00"/>
    <n v="179"/>
    <x v="1"/>
    <x v="3"/>
    <n v="92"/>
    <n v="874404.81"/>
    <n v="329655.5"/>
    <n v="544749.31000000006"/>
    <x v="3"/>
    <n v="0.36799999999999999"/>
  </r>
  <r>
    <s v="SK1753"/>
    <x v="23"/>
    <s v="SIN"/>
    <s v="DEL"/>
    <d v="2026-09-12T00:00:00"/>
    <n v="573"/>
    <x v="3"/>
    <x v="3"/>
    <n v="198"/>
    <n v="1230795.33"/>
    <n v="543382.4"/>
    <n v="687412.93"/>
    <x v="8"/>
    <n v="0.79200000000000004"/>
  </r>
  <r>
    <s v="SK1754"/>
    <x v="42"/>
    <s v="BKK"/>
    <s v="BOM"/>
    <d v="2026-04-10T00:00:00"/>
    <n v="315"/>
    <x v="0"/>
    <x v="1"/>
    <n v="66"/>
    <n v="570496.65"/>
    <n v="425123.35"/>
    <n v="145373.30000000005"/>
    <x v="7"/>
    <n v="0.44"/>
  </r>
  <r>
    <s v="SK1755"/>
    <x v="83"/>
    <s v="BOM"/>
    <s v="DEL"/>
    <d v="2026-09-17T00:00:00"/>
    <n v="104"/>
    <x v="0"/>
    <x v="1"/>
    <n v="124"/>
    <n v="1160111.06"/>
    <n v="152317.66"/>
    <n v="1007793.4"/>
    <x v="8"/>
    <n v="0.82666666666666666"/>
  </r>
  <r>
    <s v="SK1756"/>
    <x v="84"/>
    <s v="MAA"/>
    <s v="JFK"/>
    <d v="2026-01-30T00:00:00"/>
    <n v="325"/>
    <x v="1"/>
    <x v="0"/>
    <n v="266"/>
    <n v="2100400.13"/>
    <n v="468898.24"/>
    <n v="1631501.89"/>
    <x v="1"/>
    <n v="0.88666666666666671"/>
  </r>
  <r>
    <s v="SK1757"/>
    <x v="28"/>
    <s v="LHR"/>
    <s v="CCU"/>
    <d v="2026-05-09T00:00:00"/>
    <n v="373"/>
    <x v="0"/>
    <x v="2"/>
    <n v="121"/>
    <n v="1787602.5"/>
    <n v="474682.22"/>
    <n v="1312920.28"/>
    <x v="6"/>
    <n v="0.67222222222222228"/>
  </r>
  <r>
    <s v="SK1758"/>
    <x v="26"/>
    <s v="BKK"/>
    <s v="DEL"/>
    <d v="2026-02-21T00:00:00"/>
    <n v="155"/>
    <x v="2"/>
    <x v="1"/>
    <n v="109"/>
    <n v="666570.69999999995"/>
    <n v="199208.55"/>
    <n v="467362.14999999997"/>
    <x v="3"/>
    <n v="0.72666666666666668"/>
  </r>
  <r>
    <s v="SK1759"/>
    <x v="12"/>
    <s v="MAA"/>
    <s v="LHR"/>
    <d v="2026-05-08T00:00:00"/>
    <n v="453"/>
    <x v="0"/>
    <x v="3"/>
    <n v="188"/>
    <n v="1927209.47"/>
    <n v="613791.85"/>
    <n v="1313417.6200000001"/>
    <x v="6"/>
    <n v="0.752"/>
  </r>
  <r>
    <s v="SK1760"/>
    <x v="50"/>
    <s v="BLR"/>
    <s v="JFK"/>
    <d v="2026-07-18T00:00:00"/>
    <n v="60"/>
    <x v="1"/>
    <x v="2"/>
    <n v="93"/>
    <n v="739638.29"/>
    <n v="129566.69"/>
    <n v="610071.60000000009"/>
    <x v="5"/>
    <n v="0.51666666666666672"/>
  </r>
  <r>
    <s v="SK1761"/>
    <x v="78"/>
    <s v="SIN"/>
    <s v="LHR"/>
    <d v="2026-09-23T00:00:00"/>
    <n v="168"/>
    <x v="3"/>
    <x v="3"/>
    <n v="183"/>
    <n v="567003.51"/>
    <n v="314700.69"/>
    <n v="252302.82"/>
    <x v="8"/>
    <n v="0.73199999999999998"/>
  </r>
  <r>
    <s v="SK1762"/>
    <x v="72"/>
    <s v="LHR"/>
    <s v="BOM"/>
    <d v="2026-07-29T00:00:00"/>
    <n v="105"/>
    <x v="0"/>
    <x v="0"/>
    <n v="75"/>
    <n v="347339.47"/>
    <n v="239077.24"/>
    <n v="108262.22999999998"/>
    <x v="5"/>
    <n v="0.25"/>
  </r>
  <r>
    <s v="SK1763"/>
    <x v="80"/>
    <s v="CCU"/>
    <s v="DXB"/>
    <d v="2026-05-27T00:00:00"/>
    <n v="544"/>
    <x v="0"/>
    <x v="0"/>
    <n v="62"/>
    <n v="787268.84"/>
    <n v="489094.83"/>
    <n v="298174.00999999995"/>
    <x v="6"/>
    <n v="0.20666666666666667"/>
  </r>
  <r>
    <s v="SK1764"/>
    <x v="49"/>
    <s v="JFK"/>
    <s v="BKK"/>
    <d v="2026-04-11T00:00:00"/>
    <n v="412"/>
    <x v="1"/>
    <x v="2"/>
    <n v="89"/>
    <n v="1111470.7"/>
    <n v="299431.33"/>
    <n v="812039.36999999988"/>
    <x v="7"/>
    <n v="0.49444444444444446"/>
  </r>
  <r>
    <s v="SK1765"/>
    <x v="60"/>
    <s v="LHR"/>
    <s v="SIN"/>
    <d v="2026-08-21T00:00:00"/>
    <n v="161"/>
    <x v="2"/>
    <x v="1"/>
    <n v="135"/>
    <n v="1617095.53"/>
    <n v="257603.23"/>
    <n v="1359492.3"/>
    <x v="0"/>
    <n v="0.9"/>
  </r>
  <r>
    <s v="SK1766"/>
    <x v="9"/>
    <s v="BOM"/>
    <s v="BLR"/>
    <d v="2026-04-27T00:00:00"/>
    <n v="103"/>
    <x v="2"/>
    <x v="0"/>
    <n v="214"/>
    <n v="2954910.5"/>
    <n v="260885.83"/>
    <n v="2694024.67"/>
    <x v="7"/>
    <n v="0.71333333333333337"/>
  </r>
  <r>
    <s v="SK1767"/>
    <x v="75"/>
    <s v="DXB"/>
    <s v="JFK"/>
    <d v="2026-09-01T00:00:00"/>
    <n v="247"/>
    <x v="0"/>
    <x v="1"/>
    <n v="140"/>
    <n v="1668799.29"/>
    <n v="242082.88"/>
    <n v="1426716.4100000001"/>
    <x v="8"/>
    <n v="0.93333333333333335"/>
  </r>
  <r>
    <s v="SK1768"/>
    <x v="88"/>
    <s v="CCU"/>
    <s v="BLR"/>
    <d v="2026-01-08T00:00:00"/>
    <n v="72"/>
    <x v="2"/>
    <x v="3"/>
    <n v="84"/>
    <n v="674109.06"/>
    <n v="182764.92"/>
    <n v="491344.14"/>
    <x v="1"/>
    <n v="0.33600000000000002"/>
  </r>
  <r>
    <s v="SK1769"/>
    <x v="68"/>
    <s v="BKK"/>
    <s v="CCU"/>
    <d v="2026-09-06T00:00:00"/>
    <n v="234"/>
    <x v="0"/>
    <x v="2"/>
    <n v="127"/>
    <n v="1649112.38"/>
    <n v="266175.43"/>
    <n v="1382936.95"/>
    <x v="8"/>
    <n v="0.7055555555555556"/>
  </r>
  <r>
    <s v="SK1770"/>
    <x v="3"/>
    <s v="JFK"/>
    <s v="SIN"/>
    <d v="2026-08-23T00:00:00"/>
    <n v="464"/>
    <x v="2"/>
    <x v="1"/>
    <n v="126"/>
    <n v="772675.34"/>
    <n v="481764.34"/>
    <n v="290910.99999999994"/>
    <x v="0"/>
    <n v="0.84"/>
  </r>
  <r>
    <s v="SK1771"/>
    <x v="83"/>
    <s v="BOM"/>
    <s v="DEL"/>
    <d v="2026-05-24T00:00:00"/>
    <n v="320"/>
    <x v="2"/>
    <x v="2"/>
    <n v="63"/>
    <n v="445261.26"/>
    <n v="282050.23"/>
    <n v="163211.03000000003"/>
    <x v="6"/>
    <n v="0.35"/>
  </r>
  <r>
    <s v="SK1772"/>
    <x v="14"/>
    <s v="BOM"/>
    <s v="SIN"/>
    <d v="2026-10-06T00:00:00"/>
    <n v="478"/>
    <x v="0"/>
    <x v="1"/>
    <n v="148"/>
    <n v="1630688.86"/>
    <n v="613738.73"/>
    <n v="1016950.1300000001"/>
    <x v="9"/>
    <n v="0.98666666666666669"/>
  </r>
  <r>
    <s v="SK1773"/>
    <x v="68"/>
    <s v="BKK"/>
    <s v="CCU"/>
    <d v="2026-01-01T00:00:00"/>
    <n v="117"/>
    <x v="2"/>
    <x v="1"/>
    <n v="132"/>
    <n v="1176396.1399999999"/>
    <n v="161263.60999999999"/>
    <n v="1015132.5299999999"/>
    <x v="1"/>
    <n v="0.88"/>
  </r>
  <r>
    <s v="SK1774"/>
    <x v="41"/>
    <s v="BKK"/>
    <s v="BLR"/>
    <d v="2026-07-27T00:00:00"/>
    <n v="258"/>
    <x v="1"/>
    <x v="3"/>
    <n v="204"/>
    <n v="701401.89"/>
    <n v="366024.13"/>
    <n v="335377.76"/>
    <x v="5"/>
    <n v="0.81599999999999995"/>
  </r>
  <r>
    <s v="SK1775"/>
    <x v="6"/>
    <s v="DXB"/>
    <s v="DEL"/>
    <d v="2026-08-02T00:00:00"/>
    <n v="129"/>
    <x v="1"/>
    <x v="0"/>
    <n v="153"/>
    <n v="1749611.7"/>
    <n v="226846.02"/>
    <n v="1522765.68"/>
    <x v="0"/>
    <n v="0.51"/>
  </r>
  <r>
    <s v="SK1776"/>
    <x v="0"/>
    <s v="JFK"/>
    <s v="DEL"/>
    <d v="2026-10-01T00:00:00"/>
    <n v="442"/>
    <x v="2"/>
    <x v="3"/>
    <n v="241"/>
    <n v="2177873.59"/>
    <n v="526759.15"/>
    <n v="1651114.44"/>
    <x v="9"/>
    <n v="0.96399999999999997"/>
  </r>
  <r>
    <s v="SK1777"/>
    <x v="52"/>
    <s v="BLR"/>
    <s v="SIN"/>
    <d v="2026-01-25T00:00:00"/>
    <n v="461"/>
    <x v="2"/>
    <x v="3"/>
    <n v="219"/>
    <n v="2384115.4500000002"/>
    <n v="497174.74"/>
    <n v="1886940.7100000002"/>
    <x v="1"/>
    <n v="0.876"/>
  </r>
  <r>
    <s v="SK1778"/>
    <x v="69"/>
    <s v="MAA"/>
    <s v="BLR"/>
    <d v="2026-04-29T00:00:00"/>
    <n v="590"/>
    <x v="0"/>
    <x v="0"/>
    <n v="223"/>
    <n v="2333550.89"/>
    <n v="653871.56999999995"/>
    <n v="1679679.3200000003"/>
    <x v="7"/>
    <n v="0.74333333333333329"/>
  </r>
  <r>
    <s v="SK1779"/>
    <x v="28"/>
    <s v="LHR"/>
    <s v="CCU"/>
    <d v="2026-01-03T00:00:00"/>
    <n v="87"/>
    <x v="2"/>
    <x v="1"/>
    <n v="136"/>
    <n v="1448224.56"/>
    <n v="162125.99"/>
    <n v="1286098.57"/>
    <x v="1"/>
    <n v="0.90666666666666662"/>
  </r>
  <r>
    <s v="SK1780"/>
    <x v="63"/>
    <s v="DXB"/>
    <s v="BOM"/>
    <d v="2026-08-22T00:00:00"/>
    <n v="362"/>
    <x v="0"/>
    <x v="3"/>
    <n v="190"/>
    <n v="2433700.4"/>
    <n v="542479.23"/>
    <n v="1891221.17"/>
    <x v="0"/>
    <n v="0.76"/>
  </r>
  <r>
    <s v="SK1781"/>
    <x v="27"/>
    <s v="SIN"/>
    <s v="BLR"/>
    <d v="2026-04-18T00:00:00"/>
    <n v="276"/>
    <x v="0"/>
    <x v="0"/>
    <n v="105"/>
    <n v="547739.53"/>
    <n v="364406.74"/>
    <n v="183332.79000000004"/>
    <x v="7"/>
    <n v="0.35"/>
  </r>
  <r>
    <s v="SK1782"/>
    <x v="51"/>
    <s v="DEL"/>
    <s v="BKK"/>
    <d v="2026-03-17T00:00:00"/>
    <n v="493"/>
    <x v="0"/>
    <x v="0"/>
    <n v="172"/>
    <n v="2315531.9300000002"/>
    <n v="633712.91"/>
    <n v="1681819.02"/>
    <x v="4"/>
    <n v="0.57333333333333336"/>
  </r>
  <r>
    <s v="SK1783"/>
    <x v="76"/>
    <s v="BLR"/>
    <s v="BOM"/>
    <d v="2026-08-05T00:00:00"/>
    <n v="539"/>
    <x v="1"/>
    <x v="1"/>
    <n v="62"/>
    <n v="610714.65"/>
    <n v="543363.87"/>
    <n v="67350.780000000028"/>
    <x v="0"/>
    <n v="0.41333333333333333"/>
  </r>
  <r>
    <s v="SK1784"/>
    <x v="81"/>
    <s v="BKK"/>
    <s v="MAA"/>
    <d v="2026-05-22T00:00:00"/>
    <n v="550"/>
    <x v="1"/>
    <x v="1"/>
    <n v="149"/>
    <n v="1747062.75"/>
    <n v="391310.97"/>
    <n v="1355751.78"/>
    <x v="6"/>
    <n v="0.99333333333333329"/>
  </r>
  <r>
    <s v="SK1785"/>
    <x v="78"/>
    <s v="SIN"/>
    <s v="LHR"/>
    <d v="2026-07-07T00:00:00"/>
    <n v="542"/>
    <x v="3"/>
    <x v="2"/>
    <n v="136"/>
    <n v="903235.65"/>
    <n v="688777.25"/>
    <n v="214458.40000000002"/>
    <x v="5"/>
    <n v="0.75555555555555554"/>
  </r>
  <r>
    <s v="SK1786"/>
    <x v="52"/>
    <s v="BLR"/>
    <s v="SIN"/>
    <d v="2026-10-07T00:00:00"/>
    <n v="322"/>
    <x v="3"/>
    <x v="1"/>
    <n v="117"/>
    <n v="388350"/>
    <n v="362670.59"/>
    <n v="25679.409999999974"/>
    <x v="9"/>
    <n v="0.78"/>
  </r>
  <r>
    <s v="SK1787"/>
    <x v="62"/>
    <s v="JFK"/>
    <s v="CCU"/>
    <d v="2026-03-30T00:00:00"/>
    <n v="184"/>
    <x v="2"/>
    <x v="1"/>
    <n v="58"/>
    <n v="686450.81"/>
    <n v="240588.53"/>
    <n v="445862.28"/>
    <x v="4"/>
    <n v="0.38666666666666666"/>
  </r>
  <r>
    <s v="SK1788"/>
    <x v="77"/>
    <s v="DEL"/>
    <s v="BLR"/>
    <d v="2026-04-10T00:00:00"/>
    <n v="311"/>
    <x v="3"/>
    <x v="1"/>
    <n v="56"/>
    <n v="418338.45"/>
    <n v="287626.18"/>
    <n v="130712.27000000002"/>
    <x v="7"/>
    <n v="0.37333333333333335"/>
  </r>
  <r>
    <s v="SK1789"/>
    <x v="4"/>
    <s v="BOM"/>
    <s v="LHR"/>
    <d v="2026-06-21T00:00:00"/>
    <n v="432"/>
    <x v="2"/>
    <x v="3"/>
    <n v="178"/>
    <n v="1905994.77"/>
    <n v="546574.81000000006"/>
    <n v="1359419.96"/>
    <x v="2"/>
    <n v="0.71199999999999997"/>
  </r>
  <r>
    <s v="SK1790"/>
    <x v="77"/>
    <s v="DEL"/>
    <s v="BLR"/>
    <d v="2026-06-17T00:00:00"/>
    <n v="456"/>
    <x v="1"/>
    <x v="2"/>
    <n v="128"/>
    <n v="769226.23999999999"/>
    <n v="538152.76"/>
    <n v="231073.47999999998"/>
    <x v="2"/>
    <n v="0.71111111111111114"/>
  </r>
  <r>
    <s v="SK1791"/>
    <x v="68"/>
    <s v="BKK"/>
    <s v="CCU"/>
    <d v="2026-08-03T00:00:00"/>
    <n v="220"/>
    <x v="3"/>
    <x v="0"/>
    <n v="255"/>
    <n v="2167346.64"/>
    <n v="361554.63"/>
    <n v="1805792.0100000002"/>
    <x v="0"/>
    <n v="0.85"/>
  </r>
  <r>
    <s v="SK1792"/>
    <x v="12"/>
    <s v="MAA"/>
    <s v="LHR"/>
    <d v="2026-02-20T00:00:00"/>
    <n v="535"/>
    <x v="0"/>
    <x v="0"/>
    <n v="133"/>
    <n v="560619.23"/>
    <n v="744278.97"/>
    <n v="-183659.74"/>
    <x v="3"/>
    <n v="0.44333333333333336"/>
  </r>
  <r>
    <s v="SK1793"/>
    <x v="82"/>
    <s v="BOM"/>
    <s v="JFK"/>
    <d v="2026-01-26T00:00:00"/>
    <n v="469"/>
    <x v="3"/>
    <x v="3"/>
    <n v="58"/>
    <n v="189130.23"/>
    <n v="530403.31000000006"/>
    <n v="-341273.08000000007"/>
    <x v="1"/>
    <n v="0.23200000000000001"/>
  </r>
  <r>
    <s v="SK1794"/>
    <x v="89"/>
    <s v="BLR"/>
    <s v="LHR"/>
    <d v="2026-09-21T00:00:00"/>
    <n v="333"/>
    <x v="3"/>
    <x v="0"/>
    <n v="221"/>
    <n v="2423393.34"/>
    <n v="430678.92"/>
    <n v="1992714.42"/>
    <x v="8"/>
    <n v="0.73666666666666669"/>
  </r>
  <r>
    <s v="SK1795"/>
    <x v="24"/>
    <s v="BOM"/>
    <s v="BKK"/>
    <d v="2026-06-17T00:00:00"/>
    <n v="140"/>
    <x v="2"/>
    <x v="2"/>
    <n v="145"/>
    <n v="832338.77"/>
    <n v="181570.76"/>
    <n v="650768.01"/>
    <x v="2"/>
    <n v="0.80555555555555558"/>
  </r>
  <r>
    <s v="SK1796"/>
    <x v="83"/>
    <s v="BOM"/>
    <s v="DEL"/>
    <d v="2026-07-13T00:00:00"/>
    <n v="561"/>
    <x v="2"/>
    <x v="0"/>
    <n v="96"/>
    <n v="708065.27"/>
    <n v="767303.24"/>
    <n v="-59237.969999999972"/>
    <x v="5"/>
    <n v="0.32"/>
  </r>
  <r>
    <s v="SK1797"/>
    <x v="49"/>
    <s v="JFK"/>
    <s v="BKK"/>
    <d v="2026-09-12T00:00:00"/>
    <n v="412"/>
    <x v="2"/>
    <x v="1"/>
    <n v="136"/>
    <n v="1625250.44"/>
    <n v="510185.88"/>
    <n v="1115064.56"/>
    <x v="8"/>
    <n v="0.90666666666666662"/>
  </r>
  <r>
    <s v="SK1798"/>
    <x v="46"/>
    <s v="BKK"/>
    <s v="SIN"/>
    <d v="2026-01-05T00:00:00"/>
    <n v="503"/>
    <x v="1"/>
    <x v="3"/>
    <n v="70"/>
    <n v="528265.16"/>
    <n v="388723.56"/>
    <n v="139541.60000000003"/>
    <x v="1"/>
    <n v="0.28000000000000003"/>
  </r>
  <r>
    <s v="SK1799"/>
    <x v="27"/>
    <s v="SIN"/>
    <s v="BLR"/>
    <d v="2026-05-30T00:00:00"/>
    <n v="511"/>
    <x v="3"/>
    <x v="0"/>
    <n v="119"/>
    <n v="1487980.46"/>
    <n v="521507"/>
    <n v="966473.46"/>
    <x v="6"/>
    <n v="0.39666666666666667"/>
  </r>
  <r>
    <s v="SK1800"/>
    <x v="67"/>
    <s v="BLR"/>
    <s v="MAA"/>
    <d v="2026-05-01T00:00:00"/>
    <n v="306"/>
    <x v="3"/>
    <x v="1"/>
    <n v="61"/>
    <n v="578301.37"/>
    <n v="326753.39"/>
    <n v="251547.97999999998"/>
    <x v="6"/>
    <n v="0.40666666666666668"/>
  </r>
  <r>
    <s v="SK1801"/>
    <x v="26"/>
    <s v="BKK"/>
    <s v="DEL"/>
    <d v="2026-09-15T00:00:00"/>
    <n v="312"/>
    <x v="3"/>
    <x v="2"/>
    <n v="162"/>
    <n v="2197202.1"/>
    <n v="455861.47"/>
    <n v="1741340.6300000001"/>
    <x v="8"/>
    <n v="0.9"/>
  </r>
  <r>
    <s v="SK1802"/>
    <x v="25"/>
    <s v="BLR"/>
    <s v="DEL"/>
    <d v="2026-05-18T00:00:00"/>
    <n v="233"/>
    <x v="1"/>
    <x v="1"/>
    <n v="92"/>
    <n v="1005715.1"/>
    <n v="244165.16"/>
    <n v="761549.94"/>
    <x v="6"/>
    <n v="0.61333333333333329"/>
  </r>
  <r>
    <s v="SK1803"/>
    <x v="1"/>
    <s v="JFK"/>
    <s v="BLR"/>
    <d v="2026-01-21T00:00:00"/>
    <n v="211"/>
    <x v="3"/>
    <x v="3"/>
    <n v="144"/>
    <n v="1310107.03"/>
    <n v="239800.88"/>
    <n v="1070306.1499999999"/>
    <x v="1"/>
    <n v="0.57599999999999996"/>
  </r>
  <r>
    <s v="SK1804"/>
    <x v="27"/>
    <s v="SIN"/>
    <s v="BLR"/>
    <d v="2026-03-09T00:00:00"/>
    <n v="232"/>
    <x v="1"/>
    <x v="3"/>
    <n v="174"/>
    <n v="2469364.2599999998"/>
    <n v="339243.88"/>
    <n v="2130120.38"/>
    <x v="4"/>
    <n v="0.69599999999999995"/>
  </r>
  <r>
    <s v="SK1805"/>
    <x v="21"/>
    <s v="LHR"/>
    <s v="MAA"/>
    <d v="2026-02-09T00:00:00"/>
    <n v="332"/>
    <x v="1"/>
    <x v="3"/>
    <n v="142"/>
    <n v="898004.28"/>
    <n v="415311.71"/>
    <n v="482692.57"/>
    <x v="3"/>
    <n v="0.56799999999999995"/>
  </r>
  <r>
    <s v="SK1806"/>
    <x v="50"/>
    <s v="BLR"/>
    <s v="JFK"/>
    <d v="2026-09-30T00:00:00"/>
    <n v="288"/>
    <x v="1"/>
    <x v="3"/>
    <n v="214"/>
    <n v="1237415.49"/>
    <n v="429865.35"/>
    <n v="807550.14"/>
    <x v="8"/>
    <n v="0.85599999999999998"/>
  </r>
  <r>
    <s v="SK1807"/>
    <x v="44"/>
    <s v="JFK"/>
    <s v="MAA"/>
    <d v="2026-04-30T00:00:00"/>
    <n v="584"/>
    <x v="2"/>
    <x v="1"/>
    <n v="126"/>
    <n v="1866171.96"/>
    <n v="707022.73"/>
    <n v="1159149.23"/>
    <x v="7"/>
    <n v="0.84"/>
  </r>
  <r>
    <s v="SK1808"/>
    <x v="88"/>
    <s v="CCU"/>
    <s v="BLR"/>
    <d v="2026-06-04T00:00:00"/>
    <n v="307"/>
    <x v="1"/>
    <x v="2"/>
    <n v="116"/>
    <n v="1051775.48"/>
    <n v="332297.40999999997"/>
    <n v="719478.07000000007"/>
    <x v="2"/>
    <n v="0.64444444444444449"/>
  </r>
  <r>
    <s v="SK1809"/>
    <x v="49"/>
    <s v="JFK"/>
    <s v="BKK"/>
    <d v="2026-03-08T00:00:00"/>
    <n v="441"/>
    <x v="3"/>
    <x v="3"/>
    <n v="231"/>
    <n v="3212519.99"/>
    <n v="636292.76"/>
    <n v="2576227.2300000004"/>
    <x v="4"/>
    <n v="0.92400000000000004"/>
  </r>
  <r>
    <s v="SK1810"/>
    <x v="64"/>
    <s v="BOM"/>
    <s v="MAA"/>
    <d v="2026-04-19T00:00:00"/>
    <n v="487"/>
    <x v="3"/>
    <x v="2"/>
    <n v="148"/>
    <n v="1141126.53"/>
    <n v="432832.94"/>
    <n v="708293.59000000008"/>
    <x v="7"/>
    <n v="0.82222222222222219"/>
  </r>
  <r>
    <s v="SK1811"/>
    <x v="32"/>
    <s v="BOM"/>
    <s v="CCU"/>
    <d v="2026-08-07T00:00:00"/>
    <n v="468"/>
    <x v="3"/>
    <x v="3"/>
    <n v="52"/>
    <n v="628656.61"/>
    <n v="432227.71"/>
    <n v="196428.89999999997"/>
    <x v="0"/>
    <n v="0.20799999999999999"/>
  </r>
  <r>
    <s v="SK1812"/>
    <x v="33"/>
    <s v="DEL"/>
    <s v="BOM"/>
    <d v="2026-08-24T00:00:00"/>
    <n v="72"/>
    <x v="3"/>
    <x v="3"/>
    <n v="96"/>
    <n v="1098934.17"/>
    <n v="185823.1"/>
    <n v="913111.07"/>
    <x v="0"/>
    <n v="0.38400000000000001"/>
  </r>
  <r>
    <s v="SK1813"/>
    <x v="13"/>
    <s v="BKK"/>
    <s v="LHR"/>
    <d v="2026-04-21T00:00:00"/>
    <n v="490"/>
    <x v="3"/>
    <x v="3"/>
    <n v="139"/>
    <n v="820982.75"/>
    <n v="427986.81"/>
    <n v="392995.94"/>
    <x v="7"/>
    <n v="0.55600000000000005"/>
  </r>
  <r>
    <s v="SK1814"/>
    <x v="72"/>
    <s v="LHR"/>
    <s v="BOM"/>
    <d v="2026-04-30T00:00:00"/>
    <n v="187"/>
    <x v="0"/>
    <x v="3"/>
    <n v="225"/>
    <n v="1431362.12"/>
    <n v="237613.61"/>
    <n v="1193748.5100000002"/>
    <x v="7"/>
    <n v="0.9"/>
  </r>
  <r>
    <s v="SK1815"/>
    <x v="19"/>
    <s v="BLR"/>
    <s v="BKK"/>
    <d v="2026-02-17T00:00:00"/>
    <n v="307"/>
    <x v="2"/>
    <x v="3"/>
    <n v="213"/>
    <n v="842941"/>
    <n v="368321.65"/>
    <n v="474619.35"/>
    <x v="3"/>
    <n v="0.85199999999999998"/>
  </r>
  <r>
    <s v="SK1816"/>
    <x v="50"/>
    <s v="BLR"/>
    <s v="JFK"/>
    <d v="2026-01-04T00:00:00"/>
    <n v="103"/>
    <x v="1"/>
    <x v="2"/>
    <n v="163"/>
    <n v="1490517.75"/>
    <n v="181071.49"/>
    <n v="1309446.26"/>
    <x v="1"/>
    <n v="0.90555555555555556"/>
  </r>
  <r>
    <s v="SK1817"/>
    <x v="19"/>
    <s v="BLR"/>
    <s v="BKK"/>
    <d v="2026-08-18T00:00:00"/>
    <n v="126"/>
    <x v="1"/>
    <x v="0"/>
    <n v="277"/>
    <n v="918699.15"/>
    <n v="282783.59000000003"/>
    <n v="635915.56000000006"/>
    <x v="0"/>
    <n v="0.92333333333333334"/>
  </r>
  <r>
    <s v="SK1818"/>
    <x v="76"/>
    <s v="BLR"/>
    <s v="BOM"/>
    <d v="2026-09-20T00:00:00"/>
    <n v="352"/>
    <x v="3"/>
    <x v="0"/>
    <n v="188"/>
    <n v="1816092.8"/>
    <n v="548792.71"/>
    <n v="1267300.0900000001"/>
    <x v="8"/>
    <n v="0.62666666666666671"/>
  </r>
  <r>
    <s v="SK1819"/>
    <x v="57"/>
    <s v="MAA"/>
    <s v="DEL"/>
    <d v="2026-05-26T00:00:00"/>
    <n v="150"/>
    <x v="3"/>
    <x v="0"/>
    <n v="115"/>
    <n v="1710076.09"/>
    <n v="273547.99"/>
    <n v="1436528.1"/>
    <x v="6"/>
    <n v="0.38333333333333336"/>
  </r>
  <r>
    <s v="SK1820"/>
    <x v="36"/>
    <s v="JFK"/>
    <s v="LHR"/>
    <d v="2026-07-26T00:00:00"/>
    <n v="362"/>
    <x v="1"/>
    <x v="1"/>
    <n v="92"/>
    <n v="861247.58"/>
    <n v="290909.13"/>
    <n v="570338.44999999995"/>
    <x v="5"/>
    <n v="0.61333333333333329"/>
  </r>
  <r>
    <s v="SK1821"/>
    <x v="76"/>
    <s v="BLR"/>
    <s v="BOM"/>
    <d v="2026-05-12T00:00:00"/>
    <n v="502"/>
    <x v="2"/>
    <x v="1"/>
    <n v="52"/>
    <n v="192377.46"/>
    <n v="676845.22"/>
    <n v="-484467.76"/>
    <x v="6"/>
    <n v="0.34666666666666668"/>
  </r>
  <r>
    <s v="SK1822"/>
    <x v="23"/>
    <s v="SIN"/>
    <s v="DEL"/>
    <d v="2026-04-14T00:00:00"/>
    <n v="316"/>
    <x v="3"/>
    <x v="0"/>
    <n v="102"/>
    <n v="1270657.58"/>
    <n v="492809.54"/>
    <n v="777848.04"/>
    <x v="7"/>
    <n v="0.34"/>
  </r>
  <r>
    <s v="SK1823"/>
    <x v="13"/>
    <s v="BKK"/>
    <s v="LHR"/>
    <d v="2026-10-21T00:00:00"/>
    <n v="595"/>
    <x v="1"/>
    <x v="0"/>
    <n v="260"/>
    <n v="3284358.99"/>
    <n v="784462.12"/>
    <n v="2499896.87"/>
    <x v="9"/>
    <n v="0.8666666666666667"/>
  </r>
  <r>
    <s v="SK1824"/>
    <x v="82"/>
    <s v="BOM"/>
    <s v="JFK"/>
    <d v="2026-02-12T00:00:00"/>
    <n v="169"/>
    <x v="0"/>
    <x v="2"/>
    <n v="149"/>
    <n v="499703.72"/>
    <n v="195588.37"/>
    <n v="304115.34999999998"/>
    <x v="3"/>
    <n v="0.82777777777777772"/>
  </r>
  <r>
    <s v="SK1825"/>
    <x v="10"/>
    <s v="DXB"/>
    <s v="SIN"/>
    <d v="2026-05-18T00:00:00"/>
    <n v="272"/>
    <x v="2"/>
    <x v="2"/>
    <n v="150"/>
    <n v="1745450.23"/>
    <n v="243943.36"/>
    <n v="1501506.87"/>
    <x v="6"/>
    <n v="0.83333333333333337"/>
  </r>
  <r>
    <s v="SK1826"/>
    <x v="37"/>
    <s v="CCU"/>
    <s v="MAA"/>
    <d v="2026-03-29T00:00:00"/>
    <n v="235"/>
    <x v="0"/>
    <x v="2"/>
    <n v="52"/>
    <n v="339458.11"/>
    <n v="299602.42"/>
    <n v="39855.69"/>
    <x v="4"/>
    <n v="0.28888888888888886"/>
  </r>
  <r>
    <s v="SK1827"/>
    <x v="77"/>
    <s v="DEL"/>
    <s v="BLR"/>
    <d v="2026-08-18T00:00:00"/>
    <n v="519"/>
    <x v="2"/>
    <x v="2"/>
    <n v="69"/>
    <n v="831260.4"/>
    <n v="389606.23"/>
    <n v="441654.17000000004"/>
    <x v="0"/>
    <n v="0.38333333333333336"/>
  </r>
  <r>
    <s v="SK1828"/>
    <x v="84"/>
    <s v="MAA"/>
    <s v="JFK"/>
    <d v="2026-02-01T00:00:00"/>
    <n v="364"/>
    <x v="2"/>
    <x v="2"/>
    <n v="74"/>
    <n v="912141.09"/>
    <n v="344721.27"/>
    <n v="567419.81999999995"/>
    <x v="3"/>
    <n v="0.41111111111111109"/>
  </r>
  <r>
    <s v="SK1829"/>
    <x v="63"/>
    <s v="DXB"/>
    <s v="BOM"/>
    <d v="2026-07-04T00:00:00"/>
    <n v="427"/>
    <x v="2"/>
    <x v="2"/>
    <n v="86"/>
    <n v="976723.8"/>
    <n v="352707.08"/>
    <n v="624016.72"/>
    <x v="5"/>
    <n v="0.4777777777777778"/>
  </r>
  <r>
    <s v="SK1830"/>
    <x v="70"/>
    <s v="CCU"/>
    <s v="SIN"/>
    <d v="2026-04-15T00:00:00"/>
    <n v="219"/>
    <x v="3"/>
    <x v="2"/>
    <n v="63"/>
    <n v="429935.13"/>
    <n v="268261.57"/>
    <n v="161673.56"/>
    <x v="7"/>
    <n v="0.35"/>
  </r>
  <r>
    <s v="SK1831"/>
    <x v="72"/>
    <s v="LHR"/>
    <s v="BOM"/>
    <d v="2026-01-31T00:00:00"/>
    <n v="80"/>
    <x v="0"/>
    <x v="1"/>
    <n v="82"/>
    <n v="582244.49"/>
    <n v="153287.17000000001"/>
    <n v="428957.31999999995"/>
    <x v="1"/>
    <n v="0.54666666666666663"/>
  </r>
  <r>
    <s v="SK1832"/>
    <x v="41"/>
    <s v="BKK"/>
    <s v="BLR"/>
    <d v="2026-01-30T00:00:00"/>
    <n v="360"/>
    <x v="1"/>
    <x v="1"/>
    <n v="72"/>
    <n v="489754.03"/>
    <n v="437723.47"/>
    <n v="52030.560000000056"/>
    <x v="1"/>
    <n v="0.48"/>
  </r>
  <r>
    <s v="SK1833"/>
    <x v="51"/>
    <s v="DEL"/>
    <s v="BKK"/>
    <d v="2026-03-06T00:00:00"/>
    <n v="324"/>
    <x v="3"/>
    <x v="1"/>
    <n v="96"/>
    <n v="1060986.77"/>
    <n v="273332.55"/>
    <n v="787654.22"/>
    <x v="4"/>
    <n v="0.64"/>
  </r>
  <r>
    <s v="SK1834"/>
    <x v="26"/>
    <s v="BKK"/>
    <s v="DEL"/>
    <d v="2026-10-03T00:00:00"/>
    <n v="298"/>
    <x v="2"/>
    <x v="1"/>
    <n v="55"/>
    <n v="714113.44"/>
    <n v="343287.56"/>
    <n v="370825.87999999995"/>
    <x v="9"/>
    <n v="0.36666666666666664"/>
  </r>
  <r>
    <s v="SK1835"/>
    <x v="3"/>
    <s v="JFK"/>
    <s v="SIN"/>
    <d v="2026-03-23T00:00:00"/>
    <n v="71"/>
    <x v="2"/>
    <x v="1"/>
    <n v="87"/>
    <n v="448340.83"/>
    <n v="111763.41"/>
    <n v="336577.42000000004"/>
    <x v="4"/>
    <n v="0.57999999999999996"/>
  </r>
  <r>
    <s v="SK1836"/>
    <x v="0"/>
    <s v="JFK"/>
    <s v="DEL"/>
    <d v="2026-07-28T00:00:00"/>
    <n v="268"/>
    <x v="2"/>
    <x v="3"/>
    <n v="133"/>
    <n v="1148218.04"/>
    <n v="394132.58"/>
    <n v="754085.46"/>
    <x v="5"/>
    <n v="0.53200000000000003"/>
  </r>
  <r>
    <s v="SK1837"/>
    <x v="34"/>
    <s v="SIN"/>
    <s v="BKK"/>
    <d v="2026-04-01T00:00:00"/>
    <n v="112"/>
    <x v="3"/>
    <x v="0"/>
    <n v="126"/>
    <n v="1724926.09"/>
    <n v="213405.85"/>
    <n v="1511520.24"/>
    <x v="7"/>
    <n v="0.42"/>
  </r>
  <r>
    <s v="SK1838"/>
    <x v="35"/>
    <s v="DXB"/>
    <s v="BLR"/>
    <d v="2026-03-16T00:00:00"/>
    <n v="348"/>
    <x v="0"/>
    <x v="3"/>
    <n v="122"/>
    <n v="1347909.3"/>
    <n v="445775.31"/>
    <n v="902133.99"/>
    <x v="4"/>
    <n v="0.48799999999999999"/>
  </r>
  <r>
    <s v="SK1839"/>
    <x v="82"/>
    <s v="BOM"/>
    <s v="JFK"/>
    <d v="2026-07-10T00:00:00"/>
    <n v="448"/>
    <x v="0"/>
    <x v="3"/>
    <n v="135"/>
    <n v="1135469.8899999999"/>
    <n v="608316.94999999995"/>
    <n v="527152.93999999994"/>
    <x v="5"/>
    <n v="0.54"/>
  </r>
  <r>
    <s v="SK1840"/>
    <x v="36"/>
    <s v="JFK"/>
    <s v="LHR"/>
    <d v="2026-01-05T00:00:00"/>
    <n v="152"/>
    <x v="2"/>
    <x v="2"/>
    <n v="143"/>
    <n v="1299258.8999999999"/>
    <n v="249661.56"/>
    <n v="1049597.3399999999"/>
    <x v="1"/>
    <n v="0.7944444444444444"/>
  </r>
  <r>
    <s v="SK1841"/>
    <x v="89"/>
    <s v="BLR"/>
    <s v="LHR"/>
    <d v="2026-08-24T00:00:00"/>
    <n v="533"/>
    <x v="2"/>
    <x v="2"/>
    <n v="149"/>
    <n v="1334162.56"/>
    <n v="664204.21"/>
    <n v="669958.35000000009"/>
    <x v="0"/>
    <n v="0.82777777777777772"/>
  </r>
  <r>
    <s v="SK1842"/>
    <x v="37"/>
    <s v="CCU"/>
    <s v="MAA"/>
    <d v="2026-05-26T00:00:00"/>
    <n v="268"/>
    <x v="3"/>
    <x v="2"/>
    <n v="111"/>
    <n v="698316.78"/>
    <n v="326732.01"/>
    <n v="371584.77"/>
    <x v="6"/>
    <n v="0.6166666666666667"/>
  </r>
  <r>
    <s v="SK1843"/>
    <x v="58"/>
    <s v="BOM"/>
    <s v="DXB"/>
    <d v="2026-03-09T00:00:00"/>
    <n v="467"/>
    <x v="1"/>
    <x v="1"/>
    <n v="123"/>
    <n v="1027218.22"/>
    <n v="381941.58"/>
    <n v="645276.6399999999"/>
    <x v="4"/>
    <n v="0.82"/>
  </r>
  <r>
    <s v="SK1844"/>
    <x v="69"/>
    <s v="MAA"/>
    <s v="BLR"/>
    <d v="2026-04-17T00:00:00"/>
    <n v="135"/>
    <x v="2"/>
    <x v="0"/>
    <n v="88"/>
    <n v="1096065.6100000001"/>
    <n v="239031.18"/>
    <n v="857034.43000000017"/>
    <x v="7"/>
    <n v="0.29333333333333333"/>
  </r>
  <r>
    <s v="SK1845"/>
    <x v="87"/>
    <s v="SIN"/>
    <s v="BOM"/>
    <d v="2026-01-08T00:00:00"/>
    <n v="428"/>
    <x v="2"/>
    <x v="0"/>
    <n v="294"/>
    <n v="4069222.56"/>
    <n v="395269.69"/>
    <n v="3673952.87"/>
    <x v="1"/>
    <n v="0.98"/>
  </r>
  <r>
    <s v="SK1846"/>
    <x v="12"/>
    <s v="MAA"/>
    <s v="LHR"/>
    <d v="2026-10-04T00:00:00"/>
    <n v="490"/>
    <x v="0"/>
    <x v="0"/>
    <n v="170"/>
    <n v="2022870.16"/>
    <n v="527550.06999999995"/>
    <n v="1495320.0899999999"/>
    <x v="9"/>
    <n v="0.56666666666666665"/>
  </r>
  <r>
    <s v="SK1847"/>
    <x v="16"/>
    <s v="CCU"/>
    <s v="DEL"/>
    <d v="2026-10-02T00:00:00"/>
    <n v="123"/>
    <x v="2"/>
    <x v="2"/>
    <n v="115"/>
    <n v="1262434.71"/>
    <n v="176140.17"/>
    <n v="1086294.54"/>
    <x v="9"/>
    <n v="0.63888888888888884"/>
  </r>
  <r>
    <s v="SK1848"/>
    <x v="59"/>
    <s v="MAA"/>
    <s v="BOM"/>
    <d v="2026-10-07T00:00:00"/>
    <n v="403"/>
    <x v="2"/>
    <x v="0"/>
    <n v="251"/>
    <n v="1034525.43"/>
    <n v="494764.53"/>
    <n v="539760.9"/>
    <x v="9"/>
    <n v="0.83666666666666667"/>
  </r>
  <r>
    <s v="SK1849"/>
    <x v="81"/>
    <s v="BKK"/>
    <s v="MAA"/>
    <d v="2026-10-06T00:00:00"/>
    <n v="412"/>
    <x v="1"/>
    <x v="0"/>
    <n v="287"/>
    <n v="2509242.37"/>
    <n v="557622.23"/>
    <n v="1951620.1400000001"/>
    <x v="9"/>
    <n v="0.95666666666666667"/>
  </r>
  <r>
    <s v="SK1850"/>
    <x v="56"/>
    <s v="JFK"/>
    <s v="BOM"/>
    <d v="2026-03-14T00:00:00"/>
    <n v="95"/>
    <x v="0"/>
    <x v="3"/>
    <n v="219"/>
    <n v="781876.67"/>
    <n v="187083.14"/>
    <n v="594793.53"/>
    <x v="4"/>
    <n v="0.876"/>
  </r>
  <r>
    <s v="SK1851"/>
    <x v="57"/>
    <s v="MAA"/>
    <s v="DEL"/>
    <d v="2026-01-21T00:00:00"/>
    <n v="287"/>
    <x v="1"/>
    <x v="2"/>
    <n v="157"/>
    <n v="600526.79"/>
    <n v="335435.46999999997"/>
    <n v="265091.32000000007"/>
    <x v="1"/>
    <n v="0.87222222222222223"/>
  </r>
  <r>
    <s v="SK1852"/>
    <x v="35"/>
    <s v="DXB"/>
    <s v="BLR"/>
    <d v="2026-08-12T00:00:00"/>
    <n v="234"/>
    <x v="0"/>
    <x v="1"/>
    <n v="139"/>
    <n v="875350.16"/>
    <n v="209919.71"/>
    <n v="665430.45000000007"/>
    <x v="0"/>
    <n v="0.92666666666666664"/>
  </r>
  <r>
    <s v="SK1853"/>
    <x v="87"/>
    <s v="SIN"/>
    <s v="BOM"/>
    <d v="2026-09-14T00:00:00"/>
    <n v="554"/>
    <x v="2"/>
    <x v="3"/>
    <n v="166"/>
    <n v="1506688.52"/>
    <n v="662559.72"/>
    <n v="844128.8"/>
    <x v="8"/>
    <n v="0.66400000000000003"/>
  </r>
  <r>
    <s v="SK1854"/>
    <x v="69"/>
    <s v="MAA"/>
    <s v="BLR"/>
    <d v="2026-08-18T00:00:00"/>
    <n v="237"/>
    <x v="2"/>
    <x v="2"/>
    <n v="134"/>
    <n v="1582103.76"/>
    <n v="220707.14"/>
    <n v="1361396.62"/>
    <x v="0"/>
    <n v="0.74444444444444446"/>
  </r>
  <r>
    <s v="SK1855"/>
    <x v="67"/>
    <s v="BLR"/>
    <s v="MAA"/>
    <d v="2026-09-19T00:00:00"/>
    <n v="203"/>
    <x v="1"/>
    <x v="0"/>
    <n v="61"/>
    <n v="379382.57"/>
    <n v="371151.64"/>
    <n v="8230.929999999993"/>
    <x v="8"/>
    <n v="0.20333333333333334"/>
  </r>
  <r>
    <s v="SK1856"/>
    <x v="21"/>
    <s v="LHR"/>
    <s v="MAA"/>
    <d v="2026-05-06T00:00:00"/>
    <n v="383"/>
    <x v="1"/>
    <x v="0"/>
    <n v="272"/>
    <n v="3048657.15"/>
    <n v="412645.63"/>
    <n v="2636011.52"/>
    <x v="6"/>
    <n v="0.90666666666666662"/>
  </r>
  <r>
    <s v="SK1857"/>
    <x v="57"/>
    <s v="MAA"/>
    <s v="DEL"/>
    <d v="2026-05-10T00:00:00"/>
    <n v="286"/>
    <x v="3"/>
    <x v="0"/>
    <n v="244"/>
    <n v="1380983.34"/>
    <n v="346951.91"/>
    <n v="1034031.4300000002"/>
    <x v="6"/>
    <n v="0.81333333333333335"/>
  </r>
  <r>
    <s v="SK1858"/>
    <x v="40"/>
    <s v="DEL"/>
    <s v="MAA"/>
    <d v="2026-05-20T00:00:00"/>
    <n v="178"/>
    <x v="2"/>
    <x v="3"/>
    <n v="115"/>
    <n v="835459.46"/>
    <n v="316233.86"/>
    <n v="519225.59999999998"/>
    <x v="6"/>
    <n v="0.46"/>
  </r>
  <r>
    <s v="SK1859"/>
    <x v="54"/>
    <s v="SIN"/>
    <s v="JFK"/>
    <d v="2026-04-27T00:00:00"/>
    <n v="206"/>
    <x v="0"/>
    <x v="3"/>
    <n v="89"/>
    <n v="541229.84"/>
    <n v="233029.74"/>
    <n v="308200.09999999998"/>
    <x v="7"/>
    <n v="0.35599999999999998"/>
  </r>
  <r>
    <s v="SK1860"/>
    <x v="27"/>
    <s v="SIN"/>
    <s v="BLR"/>
    <d v="2026-02-19T00:00:00"/>
    <n v="164"/>
    <x v="1"/>
    <x v="1"/>
    <n v="76"/>
    <n v="258143.6"/>
    <n v="157129.89000000001"/>
    <n v="101013.70999999999"/>
    <x v="3"/>
    <n v="0.50666666666666671"/>
  </r>
  <r>
    <s v="SK1861"/>
    <x v="27"/>
    <s v="SIN"/>
    <s v="BLR"/>
    <d v="2026-06-15T00:00:00"/>
    <n v="375"/>
    <x v="2"/>
    <x v="0"/>
    <n v="298"/>
    <n v="2064927.45"/>
    <n v="373156.01"/>
    <n v="1691771.44"/>
    <x v="2"/>
    <n v="0.99333333333333329"/>
  </r>
  <r>
    <s v="SK1862"/>
    <x v="52"/>
    <s v="BLR"/>
    <s v="SIN"/>
    <d v="2026-05-15T00:00:00"/>
    <n v="293"/>
    <x v="2"/>
    <x v="0"/>
    <n v="291"/>
    <n v="2736295.34"/>
    <n v="319697.99"/>
    <n v="2416597.3499999996"/>
    <x v="6"/>
    <n v="0.97"/>
  </r>
  <r>
    <s v="SK1863"/>
    <x v="58"/>
    <s v="BOM"/>
    <s v="DXB"/>
    <d v="2026-06-02T00:00:00"/>
    <n v="149"/>
    <x v="1"/>
    <x v="2"/>
    <n v="128"/>
    <n v="1361468.48"/>
    <n v="242857.79"/>
    <n v="1118610.69"/>
    <x v="2"/>
    <n v="0.71111111111111114"/>
  </r>
  <r>
    <s v="SK1864"/>
    <x v="13"/>
    <s v="BKK"/>
    <s v="LHR"/>
    <d v="2026-08-28T00:00:00"/>
    <n v="115"/>
    <x v="0"/>
    <x v="3"/>
    <n v="77"/>
    <n v="381211.97"/>
    <n v="262639.07"/>
    <n v="118572.89999999997"/>
    <x v="0"/>
    <n v="0.308"/>
  </r>
  <r>
    <s v="SK1865"/>
    <x v="36"/>
    <s v="JFK"/>
    <s v="LHR"/>
    <d v="2026-07-05T00:00:00"/>
    <n v="233"/>
    <x v="1"/>
    <x v="2"/>
    <n v="112"/>
    <n v="491097.41"/>
    <n v="272850.59999999998"/>
    <n v="218246.81"/>
    <x v="5"/>
    <n v="0.62222222222222223"/>
  </r>
  <r>
    <s v="SK1866"/>
    <x v="43"/>
    <s v="MAA"/>
    <s v="CCU"/>
    <d v="2026-06-03T00:00:00"/>
    <n v="130"/>
    <x v="3"/>
    <x v="3"/>
    <n v="128"/>
    <n v="1123403.8500000001"/>
    <n v="197145.97"/>
    <n v="926257.88000000012"/>
    <x v="2"/>
    <n v="0.51200000000000001"/>
  </r>
  <r>
    <s v="SK1867"/>
    <x v="25"/>
    <s v="BLR"/>
    <s v="DEL"/>
    <d v="2026-09-01T00:00:00"/>
    <n v="533"/>
    <x v="3"/>
    <x v="3"/>
    <n v="86"/>
    <n v="699513.81"/>
    <n v="465182.13"/>
    <n v="234331.68000000005"/>
    <x v="8"/>
    <n v="0.34399999999999997"/>
  </r>
  <r>
    <s v="SK1868"/>
    <x v="48"/>
    <s v="CCU"/>
    <s v="LHR"/>
    <d v="2026-10-08T00:00:00"/>
    <n v="518"/>
    <x v="2"/>
    <x v="0"/>
    <n v="243"/>
    <n v="2404459.25"/>
    <n v="707156.81"/>
    <n v="1697302.44"/>
    <x v="9"/>
    <n v="0.81"/>
  </r>
  <r>
    <s v="SK1869"/>
    <x v="56"/>
    <s v="JFK"/>
    <s v="BOM"/>
    <d v="2026-02-17T00:00:00"/>
    <n v="146"/>
    <x v="1"/>
    <x v="1"/>
    <n v="61"/>
    <n v="244686.05"/>
    <n v="230972.27"/>
    <n v="13713.779999999999"/>
    <x v="3"/>
    <n v="0.40666666666666668"/>
  </r>
  <r>
    <s v="SK1870"/>
    <x v="1"/>
    <s v="JFK"/>
    <s v="BLR"/>
    <d v="2026-03-18T00:00:00"/>
    <n v="568"/>
    <x v="1"/>
    <x v="1"/>
    <n v="96"/>
    <n v="833552.06"/>
    <n v="522513.95"/>
    <n v="311038.11000000004"/>
    <x v="4"/>
    <n v="0.64"/>
  </r>
  <r>
    <s v="SK1871"/>
    <x v="12"/>
    <s v="MAA"/>
    <s v="LHR"/>
    <d v="2026-05-24T00:00:00"/>
    <n v="115"/>
    <x v="0"/>
    <x v="1"/>
    <n v="129"/>
    <n v="537081.89"/>
    <n v="181315.99"/>
    <n v="355765.9"/>
    <x v="6"/>
    <n v="0.86"/>
  </r>
  <r>
    <s v="SK1872"/>
    <x v="68"/>
    <s v="BKK"/>
    <s v="CCU"/>
    <d v="2026-06-09T00:00:00"/>
    <n v="264"/>
    <x v="2"/>
    <x v="1"/>
    <n v="89"/>
    <n v="824362.62"/>
    <n v="324706.88"/>
    <n v="499655.74"/>
    <x v="2"/>
    <n v="0.59333333333333338"/>
  </r>
  <r>
    <s v="SK1873"/>
    <x v="49"/>
    <s v="JFK"/>
    <s v="BKK"/>
    <d v="2026-05-08T00:00:00"/>
    <n v="210"/>
    <x v="1"/>
    <x v="3"/>
    <n v="79"/>
    <n v="824663.26"/>
    <n v="242162.06"/>
    <n v="582501.19999999995"/>
    <x v="6"/>
    <n v="0.316"/>
  </r>
  <r>
    <s v="SK1874"/>
    <x v="6"/>
    <s v="DXB"/>
    <s v="DEL"/>
    <d v="2026-07-01T00:00:00"/>
    <n v="93"/>
    <x v="1"/>
    <x v="2"/>
    <n v="179"/>
    <n v="1759536.31"/>
    <n v="196919.71"/>
    <n v="1562616.6"/>
    <x v="5"/>
    <n v="0.99444444444444446"/>
  </r>
  <r>
    <s v="SK1875"/>
    <x v="22"/>
    <s v="CCU"/>
    <s v="BOM"/>
    <d v="2026-10-24T00:00:00"/>
    <n v="367"/>
    <x v="0"/>
    <x v="1"/>
    <n v="131"/>
    <n v="1290124.1499999999"/>
    <n v="382907.99"/>
    <n v="907216.15999999992"/>
    <x v="9"/>
    <n v="0.87333333333333329"/>
  </r>
  <r>
    <s v="SK1876"/>
    <x v="50"/>
    <s v="BLR"/>
    <s v="JFK"/>
    <d v="2026-04-24T00:00:00"/>
    <n v="134"/>
    <x v="3"/>
    <x v="3"/>
    <n v="108"/>
    <n v="1564261.33"/>
    <n v="197668.95"/>
    <n v="1366592.3800000001"/>
    <x v="7"/>
    <n v="0.432"/>
  </r>
  <r>
    <s v="SK1877"/>
    <x v="10"/>
    <s v="DXB"/>
    <s v="SIN"/>
    <d v="2026-01-19T00:00:00"/>
    <n v="482"/>
    <x v="1"/>
    <x v="2"/>
    <n v="167"/>
    <n v="1619696.43"/>
    <n v="440587.15"/>
    <n v="1179109.2799999998"/>
    <x v="1"/>
    <n v="0.92777777777777781"/>
  </r>
  <r>
    <s v="SK1878"/>
    <x v="43"/>
    <s v="MAA"/>
    <s v="CCU"/>
    <d v="2026-09-30T00:00:00"/>
    <n v="73"/>
    <x v="1"/>
    <x v="1"/>
    <n v="99"/>
    <n v="814333.04"/>
    <n v="124287.59"/>
    <n v="690045.45000000007"/>
    <x v="8"/>
    <n v="0.66"/>
  </r>
  <r>
    <s v="SK1879"/>
    <x v="76"/>
    <s v="BLR"/>
    <s v="BOM"/>
    <d v="2026-05-03T00:00:00"/>
    <n v="218"/>
    <x v="3"/>
    <x v="1"/>
    <n v="130"/>
    <n v="964887.55"/>
    <n v="192235.79"/>
    <n v="772651.76"/>
    <x v="6"/>
    <n v="0.8666666666666667"/>
  </r>
  <r>
    <s v="SK1880"/>
    <x v="78"/>
    <s v="SIN"/>
    <s v="LHR"/>
    <d v="2026-04-30T00:00:00"/>
    <n v="305"/>
    <x v="1"/>
    <x v="2"/>
    <n v="70"/>
    <n v="1021487.15"/>
    <n v="371477.25"/>
    <n v="650009.9"/>
    <x v="7"/>
    <n v="0.3888888888888889"/>
  </r>
  <r>
    <s v="SK1881"/>
    <x v="75"/>
    <s v="DXB"/>
    <s v="JFK"/>
    <d v="2026-03-28T00:00:00"/>
    <n v="278"/>
    <x v="0"/>
    <x v="2"/>
    <n v="113"/>
    <n v="1174662.78"/>
    <n v="411174.42"/>
    <n v="763488.3600000001"/>
    <x v="4"/>
    <n v="0.62777777777777777"/>
  </r>
  <r>
    <s v="SK1882"/>
    <x v="78"/>
    <s v="SIN"/>
    <s v="LHR"/>
    <d v="2026-10-21T00:00:00"/>
    <n v="248"/>
    <x v="2"/>
    <x v="0"/>
    <n v="114"/>
    <n v="649658.82999999996"/>
    <n v="370892.09"/>
    <n v="278766.73999999993"/>
    <x v="9"/>
    <n v="0.38"/>
  </r>
  <r>
    <s v="SK1883"/>
    <x v="0"/>
    <s v="JFK"/>
    <s v="DEL"/>
    <d v="2026-03-18T00:00:00"/>
    <n v="527"/>
    <x v="0"/>
    <x v="1"/>
    <n v="104"/>
    <n v="823489.9"/>
    <n v="532148.18000000005"/>
    <n v="291341.71999999997"/>
    <x v="4"/>
    <n v="0.69333333333333336"/>
  </r>
  <r>
    <s v="SK1884"/>
    <x v="12"/>
    <s v="MAA"/>
    <s v="LHR"/>
    <d v="2026-07-02T00:00:00"/>
    <n v="365"/>
    <x v="1"/>
    <x v="3"/>
    <n v="222"/>
    <n v="2407803.02"/>
    <n v="481548.97"/>
    <n v="1926254.05"/>
    <x v="5"/>
    <n v="0.88800000000000001"/>
  </r>
  <r>
    <s v="SK1885"/>
    <x v="61"/>
    <s v="BKK"/>
    <s v="DXB"/>
    <d v="2026-01-06T00:00:00"/>
    <n v="73"/>
    <x v="1"/>
    <x v="2"/>
    <n v="76"/>
    <n v="755399.22"/>
    <n v="139747.17000000001"/>
    <n v="615652.04999999993"/>
    <x v="1"/>
    <n v="0.42222222222222222"/>
  </r>
  <r>
    <s v="SK1886"/>
    <x v="70"/>
    <s v="CCU"/>
    <s v="SIN"/>
    <d v="2026-07-27T00:00:00"/>
    <n v="355"/>
    <x v="0"/>
    <x v="0"/>
    <n v="81"/>
    <n v="604578.91"/>
    <n v="537982.49"/>
    <n v="66596.420000000042"/>
    <x v="5"/>
    <n v="0.27"/>
  </r>
  <r>
    <s v="SK1887"/>
    <x v="52"/>
    <s v="BLR"/>
    <s v="SIN"/>
    <d v="2026-04-26T00:00:00"/>
    <n v="594"/>
    <x v="3"/>
    <x v="0"/>
    <n v="190"/>
    <n v="1500227.15"/>
    <n v="534852.31999999995"/>
    <n v="965374.83"/>
    <x v="7"/>
    <n v="0.6333333333333333"/>
  </r>
  <r>
    <s v="SK1888"/>
    <x v="54"/>
    <s v="SIN"/>
    <s v="JFK"/>
    <d v="2026-02-15T00:00:00"/>
    <n v="281"/>
    <x v="0"/>
    <x v="3"/>
    <n v="172"/>
    <n v="1806040.15"/>
    <n v="315180.24"/>
    <n v="1490859.91"/>
    <x v="3"/>
    <n v="0.68799999999999994"/>
  </r>
  <r>
    <s v="SK1889"/>
    <x v="73"/>
    <s v="BKK"/>
    <s v="JFK"/>
    <d v="2026-10-22T00:00:00"/>
    <n v="422"/>
    <x v="0"/>
    <x v="3"/>
    <n v="62"/>
    <n v="294245.64"/>
    <n v="583347.32999999996"/>
    <n v="-289101.68999999994"/>
    <x v="9"/>
    <n v="0.248"/>
  </r>
  <r>
    <s v="SK1890"/>
    <x v="17"/>
    <s v="LHR"/>
    <s v="JFK"/>
    <d v="2026-09-17T00:00:00"/>
    <n v="500"/>
    <x v="3"/>
    <x v="0"/>
    <n v="133"/>
    <n v="1482124.5"/>
    <n v="422819.92"/>
    <n v="1059304.58"/>
    <x v="8"/>
    <n v="0.44333333333333336"/>
  </r>
  <r>
    <s v="SK1891"/>
    <x v="25"/>
    <s v="BLR"/>
    <s v="DEL"/>
    <d v="2026-03-19T00:00:00"/>
    <n v="598"/>
    <x v="1"/>
    <x v="1"/>
    <n v="101"/>
    <n v="777350.25"/>
    <n v="746006.98"/>
    <n v="31343.270000000019"/>
    <x v="4"/>
    <n v="0.67333333333333334"/>
  </r>
  <r>
    <s v="SK1892"/>
    <x v="9"/>
    <s v="BOM"/>
    <s v="BLR"/>
    <d v="2026-02-04T00:00:00"/>
    <n v="460"/>
    <x v="2"/>
    <x v="1"/>
    <n v="148"/>
    <n v="1427070.85"/>
    <n v="503387.68"/>
    <n v="923683.17000000016"/>
    <x v="3"/>
    <n v="0.98666666666666669"/>
  </r>
  <r>
    <s v="SK1893"/>
    <x v="16"/>
    <s v="CCU"/>
    <s v="DEL"/>
    <d v="2026-03-05T00:00:00"/>
    <n v="67"/>
    <x v="3"/>
    <x v="1"/>
    <n v="115"/>
    <n v="374245.3"/>
    <n v="119169.32"/>
    <n v="255075.97999999998"/>
    <x v="4"/>
    <n v="0.76666666666666672"/>
  </r>
  <r>
    <s v="SK1894"/>
    <x v="64"/>
    <s v="BOM"/>
    <s v="MAA"/>
    <d v="2026-04-25T00:00:00"/>
    <n v="98"/>
    <x v="3"/>
    <x v="0"/>
    <n v="66"/>
    <n v="495760.25"/>
    <n v="242907.35"/>
    <n v="252852.9"/>
    <x v="7"/>
    <n v="0.22"/>
  </r>
  <r>
    <s v="SK1895"/>
    <x v="23"/>
    <s v="SIN"/>
    <s v="DEL"/>
    <d v="2026-03-06T00:00:00"/>
    <n v="287"/>
    <x v="3"/>
    <x v="0"/>
    <n v="293"/>
    <n v="1676783.1"/>
    <n v="480192.48"/>
    <n v="1196590.6200000001"/>
    <x v="4"/>
    <n v="0.97666666666666668"/>
  </r>
  <r>
    <s v="SK1896"/>
    <x v="59"/>
    <s v="MAA"/>
    <s v="BOM"/>
    <d v="2026-04-09T00:00:00"/>
    <n v="431"/>
    <x v="0"/>
    <x v="2"/>
    <n v="161"/>
    <n v="791405.03"/>
    <n v="367403.66"/>
    <n v="424001.37000000005"/>
    <x v="7"/>
    <n v="0.89444444444444449"/>
  </r>
  <r>
    <s v="SK1897"/>
    <x v="61"/>
    <s v="BKK"/>
    <s v="DXB"/>
    <d v="2026-09-20T00:00:00"/>
    <n v="281"/>
    <x v="2"/>
    <x v="2"/>
    <n v="87"/>
    <n v="785402.99"/>
    <n v="263213.51"/>
    <n v="522189.48"/>
    <x v="8"/>
    <n v="0.48333333333333334"/>
  </r>
  <r>
    <s v="SK1898"/>
    <x v="44"/>
    <s v="JFK"/>
    <s v="MAA"/>
    <d v="2026-10-12T00:00:00"/>
    <n v="61"/>
    <x v="2"/>
    <x v="1"/>
    <n v="99"/>
    <n v="527161.85"/>
    <n v="116676.85"/>
    <n v="410485"/>
    <x v="9"/>
    <n v="0.66"/>
  </r>
  <r>
    <s v="SK1899"/>
    <x v="34"/>
    <s v="SIN"/>
    <s v="BKK"/>
    <d v="2026-03-24T00:00:00"/>
    <n v="124"/>
    <x v="2"/>
    <x v="3"/>
    <n v="184"/>
    <n v="1757786.17"/>
    <n v="205575.82"/>
    <n v="1552210.3499999999"/>
    <x v="4"/>
    <n v="0.73599999999999999"/>
  </r>
  <r>
    <s v="SK1900"/>
    <x v="66"/>
    <s v="CCU"/>
    <s v="JFK"/>
    <d v="2026-01-13T00:00:00"/>
    <n v="356"/>
    <x v="1"/>
    <x v="2"/>
    <n v="134"/>
    <n v="808682.18"/>
    <n v="278089.57"/>
    <n v="530592.6100000001"/>
    <x v="1"/>
    <n v="0.74444444444444446"/>
  </r>
  <r>
    <s v="SK1901"/>
    <x v="18"/>
    <s v="DXB"/>
    <s v="LHR"/>
    <d v="2026-01-13T00:00:00"/>
    <n v="75"/>
    <x v="2"/>
    <x v="1"/>
    <n v="114"/>
    <n v="1609052.78"/>
    <n v="117142.97"/>
    <n v="1491909.81"/>
    <x v="1"/>
    <n v="0.76"/>
  </r>
  <r>
    <s v="SK1902"/>
    <x v="42"/>
    <s v="BKK"/>
    <s v="BOM"/>
    <d v="2026-05-13T00:00:00"/>
    <n v="87"/>
    <x v="3"/>
    <x v="3"/>
    <n v="165"/>
    <n v="591161.97"/>
    <n v="205266.96"/>
    <n v="385895.01"/>
    <x v="6"/>
    <n v="0.66"/>
  </r>
  <r>
    <s v="SK1903"/>
    <x v="1"/>
    <s v="JFK"/>
    <s v="BLR"/>
    <d v="2026-09-19T00:00:00"/>
    <n v="82"/>
    <x v="1"/>
    <x v="2"/>
    <n v="103"/>
    <n v="382342.05"/>
    <n v="168744.42"/>
    <n v="213597.62999999998"/>
    <x v="8"/>
    <n v="0.57222222222222219"/>
  </r>
  <r>
    <s v="SK1904"/>
    <x v="78"/>
    <s v="SIN"/>
    <s v="LHR"/>
    <d v="2026-09-20T00:00:00"/>
    <n v="330"/>
    <x v="1"/>
    <x v="3"/>
    <n v="73"/>
    <n v="463636.38"/>
    <n v="375004.55"/>
    <n v="88631.830000000016"/>
    <x v="8"/>
    <n v="0.29199999999999998"/>
  </r>
  <r>
    <s v="SK1905"/>
    <x v="78"/>
    <s v="SIN"/>
    <s v="LHR"/>
    <d v="2026-01-13T00:00:00"/>
    <n v="551"/>
    <x v="1"/>
    <x v="2"/>
    <n v="58"/>
    <n v="809239.9"/>
    <n v="439864.04"/>
    <n v="369375.86000000004"/>
    <x v="1"/>
    <n v="0.32222222222222224"/>
  </r>
  <r>
    <s v="SK1906"/>
    <x v="71"/>
    <s v="DXB"/>
    <s v="BKK"/>
    <d v="2026-01-23T00:00:00"/>
    <n v="108"/>
    <x v="3"/>
    <x v="2"/>
    <n v="129"/>
    <n v="431321.09"/>
    <n v="159099.46"/>
    <n v="272221.63"/>
    <x v="1"/>
    <n v="0.71666666666666667"/>
  </r>
  <r>
    <s v="SK1907"/>
    <x v="41"/>
    <s v="BKK"/>
    <s v="BLR"/>
    <d v="2026-05-21T00:00:00"/>
    <n v="467"/>
    <x v="3"/>
    <x v="2"/>
    <n v="132"/>
    <n v="659600.23"/>
    <n v="580563.5"/>
    <n v="79036.729999999981"/>
    <x v="6"/>
    <n v="0.73333333333333328"/>
  </r>
  <r>
    <s v="SK1908"/>
    <x v="89"/>
    <s v="BLR"/>
    <s v="LHR"/>
    <d v="2026-02-26T00:00:00"/>
    <n v="223"/>
    <x v="1"/>
    <x v="1"/>
    <n v="147"/>
    <n v="1981806.67"/>
    <n v="221958.08"/>
    <n v="1759848.5899999999"/>
    <x v="3"/>
    <n v="0.98"/>
  </r>
  <r>
    <s v="SK1909"/>
    <x v="7"/>
    <s v="DXB"/>
    <s v="CCU"/>
    <d v="2026-01-25T00:00:00"/>
    <n v="161"/>
    <x v="3"/>
    <x v="2"/>
    <n v="89"/>
    <n v="374192.48"/>
    <n v="241926.9"/>
    <n v="132265.57999999999"/>
    <x v="1"/>
    <n v="0.49444444444444446"/>
  </r>
  <r>
    <s v="SK1910"/>
    <x v="65"/>
    <s v="CCU"/>
    <s v="BKK"/>
    <d v="2026-01-28T00:00:00"/>
    <n v="521"/>
    <x v="1"/>
    <x v="2"/>
    <n v="173"/>
    <n v="777472.91"/>
    <n v="704477.84"/>
    <n v="72995.070000000065"/>
    <x v="1"/>
    <n v="0.96111111111111114"/>
  </r>
  <r>
    <s v="SK1911"/>
    <x v="33"/>
    <s v="DEL"/>
    <s v="BOM"/>
    <d v="2026-01-14T00:00:00"/>
    <n v="253"/>
    <x v="2"/>
    <x v="0"/>
    <n v="203"/>
    <n v="2546745.2400000002"/>
    <n v="285288.52"/>
    <n v="2261456.7200000002"/>
    <x v="1"/>
    <n v="0.67666666666666664"/>
  </r>
  <r>
    <s v="SK1912"/>
    <x v="3"/>
    <s v="JFK"/>
    <s v="SIN"/>
    <d v="2026-08-01T00:00:00"/>
    <n v="64"/>
    <x v="0"/>
    <x v="1"/>
    <n v="67"/>
    <n v="579312.5"/>
    <n v="149514.19"/>
    <n v="429798.31"/>
    <x v="0"/>
    <n v="0.44666666666666666"/>
  </r>
  <r>
    <s v="SK1913"/>
    <x v="68"/>
    <s v="BKK"/>
    <s v="CCU"/>
    <d v="2026-08-29T00:00:00"/>
    <n v="410"/>
    <x v="3"/>
    <x v="3"/>
    <n v="173"/>
    <n v="1745064.13"/>
    <n v="505121.25"/>
    <n v="1239942.8799999999"/>
    <x v="0"/>
    <n v="0.69199999999999995"/>
  </r>
  <r>
    <s v="SK1914"/>
    <x v="25"/>
    <s v="BLR"/>
    <s v="DEL"/>
    <d v="2026-01-28T00:00:00"/>
    <n v="213"/>
    <x v="0"/>
    <x v="3"/>
    <n v="213"/>
    <n v="2068575.59"/>
    <n v="259443.02"/>
    <n v="1809132.57"/>
    <x v="1"/>
    <n v="0.85199999999999998"/>
  </r>
  <r>
    <s v="SK1915"/>
    <x v="54"/>
    <s v="SIN"/>
    <s v="JFK"/>
    <d v="2026-08-09T00:00:00"/>
    <n v="559"/>
    <x v="0"/>
    <x v="3"/>
    <n v="152"/>
    <n v="644923.66"/>
    <n v="732303.4"/>
    <n v="-87379.739999999991"/>
    <x v="0"/>
    <n v="0.60799999999999998"/>
  </r>
  <r>
    <s v="SK1916"/>
    <x v="4"/>
    <s v="BOM"/>
    <s v="LHR"/>
    <d v="2026-01-26T00:00:00"/>
    <n v="289"/>
    <x v="0"/>
    <x v="0"/>
    <n v="55"/>
    <n v="807085.36"/>
    <n v="348444.55"/>
    <n v="458640.81"/>
    <x v="1"/>
    <n v="0.18333333333333332"/>
  </r>
  <r>
    <s v="SK1917"/>
    <x v="88"/>
    <s v="CCU"/>
    <s v="BLR"/>
    <d v="2026-03-28T00:00:00"/>
    <n v="168"/>
    <x v="0"/>
    <x v="1"/>
    <n v="59"/>
    <n v="753608.79"/>
    <n v="212997.11"/>
    <n v="540611.68000000005"/>
    <x v="4"/>
    <n v="0.39333333333333331"/>
  </r>
  <r>
    <s v="SK1918"/>
    <x v="67"/>
    <s v="BLR"/>
    <s v="MAA"/>
    <d v="2026-03-14T00:00:00"/>
    <n v="226"/>
    <x v="1"/>
    <x v="2"/>
    <n v="52"/>
    <n v="386182.69"/>
    <n v="270069.87"/>
    <n v="116112.82"/>
    <x v="4"/>
    <n v="0.28888888888888886"/>
  </r>
  <r>
    <s v="SK1919"/>
    <x v="81"/>
    <s v="BKK"/>
    <s v="MAA"/>
    <d v="2026-07-03T00:00:00"/>
    <n v="244"/>
    <x v="0"/>
    <x v="2"/>
    <n v="100"/>
    <n v="854124.44"/>
    <n v="367487.16"/>
    <n v="486637.27999999997"/>
    <x v="5"/>
    <n v="0.55555555555555558"/>
  </r>
  <r>
    <s v="SK1920"/>
    <x v="30"/>
    <s v="DEL"/>
    <s v="LHR"/>
    <d v="2026-06-06T00:00:00"/>
    <n v="128"/>
    <x v="3"/>
    <x v="1"/>
    <n v="107"/>
    <n v="1394307.9"/>
    <n v="211984.02"/>
    <n v="1182323.8799999999"/>
    <x v="2"/>
    <n v="0.71333333333333337"/>
  </r>
  <r>
    <s v="SK1921"/>
    <x v="78"/>
    <s v="SIN"/>
    <s v="LHR"/>
    <d v="2026-09-11T00:00:00"/>
    <n v="534"/>
    <x v="0"/>
    <x v="2"/>
    <n v="147"/>
    <n v="1481965.37"/>
    <n v="468407.99"/>
    <n v="1013557.3800000001"/>
    <x v="8"/>
    <n v="0.81666666666666665"/>
  </r>
  <r>
    <s v="SK1922"/>
    <x v="16"/>
    <s v="CCU"/>
    <s v="DEL"/>
    <d v="2026-08-04T00:00:00"/>
    <n v="528"/>
    <x v="2"/>
    <x v="2"/>
    <n v="104"/>
    <n v="1110173.5"/>
    <n v="378836.22"/>
    <n v="731337.28"/>
    <x v="0"/>
    <n v="0.57777777777777772"/>
  </r>
  <r>
    <s v="SK1923"/>
    <x v="85"/>
    <s v="SIN"/>
    <s v="DXB"/>
    <d v="2026-03-06T00:00:00"/>
    <n v="68"/>
    <x v="1"/>
    <x v="2"/>
    <n v="75"/>
    <n v="1072132.3799999999"/>
    <n v="152518.04999999999"/>
    <n v="919614.32999999984"/>
    <x v="4"/>
    <n v="0.41666666666666669"/>
  </r>
  <r>
    <s v="SK1924"/>
    <x v="4"/>
    <s v="BOM"/>
    <s v="LHR"/>
    <d v="2026-01-12T00:00:00"/>
    <n v="89"/>
    <x v="2"/>
    <x v="2"/>
    <n v="134"/>
    <n v="1324912.28"/>
    <n v="187671.85"/>
    <n v="1137240.43"/>
    <x v="1"/>
    <n v="0.74444444444444446"/>
  </r>
  <r>
    <s v="SK1925"/>
    <x v="41"/>
    <s v="BKK"/>
    <s v="BLR"/>
    <d v="2026-05-26T00:00:00"/>
    <n v="500"/>
    <x v="0"/>
    <x v="1"/>
    <n v="109"/>
    <n v="463757.23"/>
    <n v="539371.32999999996"/>
    <n v="-75614.099999999977"/>
    <x v="6"/>
    <n v="0.72666666666666668"/>
  </r>
  <r>
    <s v="SK1926"/>
    <x v="80"/>
    <s v="CCU"/>
    <s v="DXB"/>
    <d v="2026-01-23T00:00:00"/>
    <n v="398"/>
    <x v="2"/>
    <x v="3"/>
    <n v="159"/>
    <n v="1243822.73"/>
    <n v="484395.4"/>
    <n v="759427.33"/>
    <x v="1"/>
    <n v="0.63600000000000001"/>
  </r>
  <r>
    <s v="SK1927"/>
    <x v="38"/>
    <s v="SIN"/>
    <s v="CCU"/>
    <d v="2026-06-27T00:00:00"/>
    <n v="207"/>
    <x v="1"/>
    <x v="3"/>
    <n v="144"/>
    <n v="589268.4"/>
    <n v="261977.14"/>
    <n v="327291.26"/>
    <x v="2"/>
    <n v="0.57599999999999996"/>
  </r>
  <r>
    <s v="SK1928"/>
    <x v="89"/>
    <s v="BLR"/>
    <s v="LHR"/>
    <d v="2026-10-21T00:00:00"/>
    <n v="195"/>
    <x v="1"/>
    <x v="1"/>
    <n v="105"/>
    <n v="1450214.01"/>
    <n v="305789.90000000002"/>
    <n v="1144424.1099999999"/>
    <x v="9"/>
    <n v="0.7"/>
  </r>
  <r>
    <s v="SK1929"/>
    <x v="19"/>
    <s v="BLR"/>
    <s v="BKK"/>
    <d v="2026-02-14T00:00:00"/>
    <n v="352"/>
    <x v="3"/>
    <x v="0"/>
    <n v="258"/>
    <n v="1767882.65"/>
    <n v="381427.69"/>
    <n v="1386454.96"/>
    <x v="3"/>
    <n v="0.86"/>
  </r>
  <r>
    <s v="SK1930"/>
    <x v="54"/>
    <s v="SIN"/>
    <s v="JFK"/>
    <d v="2026-01-13T00:00:00"/>
    <n v="502"/>
    <x v="3"/>
    <x v="0"/>
    <n v="79"/>
    <n v="814870.97"/>
    <n v="433000.66"/>
    <n v="381870.31"/>
    <x v="1"/>
    <n v="0.26333333333333331"/>
  </r>
  <r>
    <s v="SK1931"/>
    <x v="41"/>
    <s v="BKK"/>
    <s v="BLR"/>
    <d v="2026-02-19T00:00:00"/>
    <n v="91"/>
    <x v="3"/>
    <x v="3"/>
    <n v="174"/>
    <n v="2532456.5499999998"/>
    <n v="172039.65"/>
    <n v="2360416.9"/>
    <x v="3"/>
    <n v="0.69599999999999995"/>
  </r>
  <r>
    <s v="SK1932"/>
    <x v="57"/>
    <s v="MAA"/>
    <s v="DEL"/>
    <d v="2026-01-28T00:00:00"/>
    <n v="431"/>
    <x v="1"/>
    <x v="2"/>
    <n v="138"/>
    <n v="1237984.44"/>
    <n v="307459.55"/>
    <n v="930524.8899999999"/>
    <x v="1"/>
    <n v="0.76666666666666672"/>
  </r>
  <r>
    <s v="SK1933"/>
    <x v="88"/>
    <s v="CCU"/>
    <s v="BLR"/>
    <d v="2026-03-05T00:00:00"/>
    <n v="583"/>
    <x v="3"/>
    <x v="0"/>
    <n v="223"/>
    <n v="2320870.92"/>
    <n v="606844.85"/>
    <n v="1714026.0699999998"/>
    <x v="4"/>
    <n v="0.74333333333333329"/>
  </r>
  <r>
    <s v="SK1934"/>
    <x v="29"/>
    <s v="BLR"/>
    <s v="DXB"/>
    <d v="2026-10-14T00:00:00"/>
    <n v="228"/>
    <x v="1"/>
    <x v="3"/>
    <n v="92"/>
    <n v="907344.14"/>
    <n v="381730.74"/>
    <n v="525613.4"/>
    <x v="9"/>
    <n v="0.36799999999999999"/>
  </r>
  <r>
    <s v="SK1935"/>
    <x v="29"/>
    <s v="BLR"/>
    <s v="DXB"/>
    <d v="2026-05-27T00:00:00"/>
    <n v="226"/>
    <x v="0"/>
    <x v="2"/>
    <n v="56"/>
    <n v="501798.41"/>
    <n v="297922.28999999998"/>
    <n v="203876.12"/>
    <x v="6"/>
    <n v="0.31111111111111112"/>
  </r>
  <r>
    <s v="SK1936"/>
    <x v="76"/>
    <s v="BLR"/>
    <s v="BOM"/>
    <d v="2026-09-02T00:00:00"/>
    <n v="598"/>
    <x v="2"/>
    <x v="3"/>
    <n v="225"/>
    <n v="1374405.87"/>
    <n v="453200.29"/>
    <n v="921205.58000000007"/>
    <x v="8"/>
    <n v="0.9"/>
  </r>
  <r>
    <s v="SK1937"/>
    <x v="40"/>
    <s v="DEL"/>
    <s v="MAA"/>
    <d v="2026-09-20T00:00:00"/>
    <n v="151"/>
    <x v="0"/>
    <x v="3"/>
    <n v="133"/>
    <n v="1304707.46"/>
    <n v="300990.34000000003"/>
    <n v="1003717.1199999999"/>
    <x v="8"/>
    <n v="0.53200000000000003"/>
  </r>
  <r>
    <s v="SK1938"/>
    <x v="12"/>
    <s v="MAA"/>
    <s v="LHR"/>
    <d v="2026-03-03T00:00:00"/>
    <n v="488"/>
    <x v="3"/>
    <x v="0"/>
    <n v="109"/>
    <n v="1275839.06"/>
    <n v="417347.8"/>
    <n v="858491.26"/>
    <x v="4"/>
    <n v="0.36333333333333334"/>
  </r>
  <r>
    <s v="SK1939"/>
    <x v="56"/>
    <s v="JFK"/>
    <s v="BOM"/>
    <d v="2026-01-04T00:00:00"/>
    <n v="533"/>
    <x v="1"/>
    <x v="2"/>
    <n v="180"/>
    <n v="898017.87"/>
    <n v="722900.85"/>
    <n v="175117.02000000002"/>
    <x v="1"/>
    <n v="1"/>
  </r>
  <r>
    <s v="SK1940"/>
    <x v="81"/>
    <s v="BKK"/>
    <s v="MAA"/>
    <d v="2026-08-18T00:00:00"/>
    <n v="429"/>
    <x v="3"/>
    <x v="1"/>
    <n v="75"/>
    <n v="443319.48"/>
    <n v="395547.28"/>
    <n v="47772.199999999953"/>
    <x v="0"/>
    <n v="0.5"/>
  </r>
  <r>
    <s v="SK1941"/>
    <x v="52"/>
    <s v="BLR"/>
    <s v="SIN"/>
    <d v="2026-10-03T00:00:00"/>
    <n v="133"/>
    <x v="3"/>
    <x v="3"/>
    <n v="83"/>
    <n v="413878.63"/>
    <n v="259589.05"/>
    <n v="154289.58000000002"/>
    <x v="9"/>
    <n v="0.33200000000000002"/>
  </r>
  <r>
    <s v="SK1942"/>
    <x v="85"/>
    <s v="SIN"/>
    <s v="DXB"/>
    <d v="2026-09-26T00:00:00"/>
    <n v="588"/>
    <x v="2"/>
    <x v="1"/>
    <n v="111"/>
    <n v="1147274.76"/>
    <n v="387306.81"/>
    <n v="759967.95"/>
    <x v="8"/>
    <n v="0.74"/>
  </r>
  <r>
    <s v="SK1943"/>
    <x v="83"/>
    <s v="BOM"/>
    <s v="DEL"/>
    <d v="2026-06-18T00:00:00"/>
    <n v="208"/>
    <x v="2"/>
    <x v="0"/>
    <n v="263"/>
    <n v="3069674.57"/>
    <n v="300788.71999999997"/>
    <n v="2768885.8499999996"/>
    <x v="2"/>
    <n v="0.87666666666666671"/>
  </r>
  <r>
    <s v="SK1944"/>
    <x v="19"/>
    <s v="BLR"/>
    <s v="BKK"/>
    <d v="2026-02-22T00:00:00"/>
    <n v="332"/>
    <x v="3"/>
    <x v="0"/>
    <n v="262"/>
    <n v="2068311.92"/>
    <n v="479850.02"/>
    <n v="1588461.9"/>
    <x v="3"/>
    <n v="0.87333333333333329"/>
  </r>
  <r>
    <s v="SK1945"/>
    <x v="0"/>
    <s v="JFK"/>
    <s v="DEL"/>
    <d v="2026-06-03T00:00:00"/>
    <n v="299"/>
    <x v="3"/>
    <x v="1"/>
    <n v="86"/>
    <n v="260253.99"/>
    <n v="410514.62"/>
    <n v="-150260.63"/>
    <x v="2"/>
    <n v="0.57333333333333336"/>
  </r>
  <r>
    <s v="SK1946"/>
    <x v="27"/>
    <s v="SIN"/>
    <s v="BLR"/>
    <d v="2026-01-09T00:00:00"/>
    <n v="518"/>
    <x v="0"/>
    <x v="1"/>
    <n v="135"/>
    <n v="542770.67000000004"/>
    <n v="413768.78"/>
    <n v="129001.89000000001"/>
    <x v="1"/>
    <n v="0.9"/>
  </r>
  <r>
    <s v="SK1947"/>
    <x v="52"/>
    <s v="BLR"/>
    <s v="SIN"/>
    <d v="2026-07-22T00:00:00"/>
    <n v="165"/>
    <x v="2"/>
    <x v="2"/>
    <n v="111"/>
    <n v="669238.35"/>
    <n v="174643.49"/>
    <n v="494594.86"/>
    <x v="5"/>
    <n v="0.6166666666666667"/>
  </r>
  <r>
    <s v="SK1948"/>
    <x v="84"/>
    <s v="MAA"/>
    <s v="JFK"/>
    <d v="2026-09-04T00:00:00"/>
    <n v="583"/>
    <x v="0"/>
    <x v="0"/>
    <n v="129"/>
    <n v="1588853.84"/>
    <n v="684697.73"/>
    <n v="904156.1100000001"/>
    <x v="8"/>
    <n v="0.43"/>
  </r>
  <r>
    <s v="SK1949"/>
    <x v="59"/>
    <s v="MAA"/>
    <s v="BOM"/>
    <d v="2026-04-06T00:00:00"/>
    <n v="542"/>
    <x v="0"/>
    <x v="1"/>
    <n v="121"/>
    <n v="1411374.7"/>
    <n v="598858.79"/>
    <n v="812515.90999999992"/>
    <x v="7"/>
    <n v="0.80666666666666664"/>
  </r>
  <r>
    <s v="SK1950"/>
    <x v="10"/>
    <s v="DXB"/>
    <s v="SIN"/>
    <d v="2026-01-25T00:00:00"/>
    <n v="511"/>
    <x v="2"/>
    <x v="3"/>
    <n v="94"/>
    <n v="1242871.92"/>
    <n v="568027.06000000006"/>
    <n v="674844.85999999987"/>
    <x v="1"/>
    <n v="0.376"/>
  </r>
  <r>
    <s v="SK1951"/>
    <x v="47"/>
    <s v="LHR"/>
    <s v="DXB"/>
    <d v="2026-05-14T00:00:00"/>
    <n v="586"/>
    <x v="1"/>
    <x v="0"/>
    <n v="211"/>
    <n v="1650080.52"/>
    <n v="770779.92"/>
    <n v="879300.6"/>
    <x v="6"/>
    <n v="0.70333333333333337"/>
  </r>
  <r>
    <s v="SK1952"/>
    <x v="51"/>
    <s v="DEL"/>
    <s v="BKK"/>
    <d v="2026-08-30T00:00:00"/>
    <n v="445"/>
    <x v="0"/>
    <x v="2"/>
    <n v="80"/>
    <n v="720930.53"/>
    <n v="429301.46"/>
    <n v="291629.07"/>
    <x v="0"/>
    <n v="0.44444444444444442"/>
  </r>
  <r>
    <s v="SK1953"/>
    <x v="86"/>
    <s v="MAA"/>
    <s v="DXB"/>
    <d v="2026-02-05T00:00:00"/>
    <n v="138"/>
    <x v="0"/>
    <x v="0"/>
    <n v="71"/>
    <n v="1022005.9"/>
    <n v="251798.49"/>
    <n v="770207.41"/>
    <x v="3"/>
    <n v="0.23666666666666666"/>
  </r>
  <r>
    <s v="SK1954"/>
    <x v="80"/>
    <s v="CCU"/>
    <s v="DXB"/>
    <d v="2026-03-19T00:00:00"/>
    <n v="139"/>
    <x v="3"/>
    <x v="2"/>
    <n v="67"/>
    <n v="701222.21"/>
    <n v="216441.94"/>
    <n v="484780.26999999996"/>
    <x v="4"/>
    <n v="0.37222222222222223"/>
  </r>
  <r>
    <s v="SK1955"/>
    <x v="24"/>
    <s v="BOM"/>
    <s v="BKK"/>
    <d v="2026-05-12T00:00:00"/>
    <n v="552"/>
    <x v="0"/>
    <x v="2"/>
    <n v="142"/>
    <n v="1373152.19"/>
    <n v="522552.36"/>
    <n v="850599.83"/>
    <x v="6"/>
    <n v="0.78888888888888886"/>
  </r>
  <r>
    <s v="SK1956"/>
    <x v="16"/>
    <s v="CCU"/>
    <s v="DEL"/>
    <d v="2026-05-21T00:00:00"/>
    <n v="505"/>
    <x v="3"/>
    <x v="1"/>
    <n v="79"/>
    <n v="891753.28"/>
    <n v="625425.29"/>
    <n v="266327.99"/>
    <x v="6"/>
    <n v="0.52666666666666662"/>
  </r>
  <r>
    <s v="SK1957"/>
    <x v="48"/>
    <s v="CCU"/>
    <s v="LHR"/>
    <d v="2026-08-04T00:00:00"/>
    <n v="138"/>
    <x v="2"/>
    <x v="2"/>
    <n v="165"/>
    <n v="1474619.33"/>
    <n v="187977.48"/>
    <n v="1286641.8500000001"/>
    <x v="0"/>
    <n v="0.91666666666666663"/>
  </r>
  <r>
    <s v="SK1958"/>
    <x v="33"/>
    <s v="DEL"/>
    <s v="BOM"/>
    <d v="2026-01-13T00:00:00"/>
    <n v="247"/>
    <x v="1"/>
    <x v="1"/>
    <n v="131"/>
    <n v="1367587.01"/>
    <n v="291107.8"/>
    <n v="1076479.21"/>
    <x v="1"/>
    <n v="0.87333333333333329"/>
  </r>
  <r>
    <s v="SK1959"/>
    <x v="9"/>
    <s v="BOM"/>
    <s v="BLR"/>
    <d v="2026-01-31T00:00:00"/>
    <n v="392"/>
    <x v="1"/>
    <x v="1"/>
    <n v="84"/>
    <n v="1182594.51"/>
    <n v="491895.1"/>
    <n v="690699.41"/>
    <x v="1"/>
    <n v="0.56000000000000005"/>
  </r>
  <r>
    <s v="SK1960"/>
    <x v="83"/>
    <s v="BOM"/>
    <s v="DEL"/>
    <d v="2026-02-01T00:00:00"/>
    <n v="152"/>
    <x v="0"/>
    <x v="2"/>
    <n v="134"/>
    <n v="1353019.7"/>
    <n v="257324.12"/>
    <n v="1095695.58"/>
    <x v="3"/>
    <n v="0.74444444444444446"/>
  </r>
  <r>
    <s v="SK1961"/>
    <x v="73"/>
    <s v="BKK"/>
    <s v="JFK"/>
    <d v="2026-07-14T00:00:00"/>
    <n v="70"/>
    <x v="3"/>
    <x v="3"/>
    <n v="212"/>
    <n v="2940549.62"/>
    <n v="208102.54"/>
    <n v="2732447.08"/>
    <x v="5"/>
    <n v="0.84799999999999998"/>
  </r>
  <r>
    <s v="SK1962"/>
    <x v="79"/>
    <s v="DEL"/>
    <s v="CCU"/>
    <d v="2026-07-16T00:00:00"/>
    <n v="287"/>
    <x v="3"/>
    <x v="2"/>
    <n v="126"/>
    <n v="1169792.67"/>
    <n v="331011.31"/>
    <n v="838781.35999999987"/>
    <x v="5"/>
    <n v="0.7"/>
  </r>
  <r>
    <s v="SK1963"/>
    <x v="72"/>
    <s v="LHR"/>
    <s v="BOM"/>
    <d v="2026-01-22T00:00:00"/>
    <n v="526"/>
    <x v="2"/>
    <x v="0"/>
    <n v="213"/>
    <n v="2530821.85"/>
    <n v="578000.99"/>
    <n v="1952820.86"/>
    <x v="1"/>
    <n v="0.71"/>
  </r>
  <r>
    <s v="SK1964"/>
    <x v="76"/>
    <s v="BLR"/>
    <s v="BOM"/>
    <d v="2026-10-04T00:00:00"/>
    <n v="309"/>
    <x v="3"/>
    <x v="3"/>
    <n v="89"/>
    <n v="1234712.08"/>
    <n v="307776.15000000002"/>
    <n v="926935.93"/>
    <x v="9"/>
    <n v="0.35599999999999998"/>
  </r>
  <r>
    <s v="SK1965"/>
    <x v="23"/>
    <s v="SIN"/>
    <s v="DEL"/>
    <d v="2026-09-22T00:00:00"/>
    <n v="543"/>
    <x v="2"/>
    <x v="1"/>
    <n v="56"/>
    <n v="409547.06"/>
    <n v="698741.52"/>
    <n v="-289194.46000000002"/>
    <x v="8"/>
    <n v="0.37333333333333335"/>
  </r>
  <r>
    <s v="SK1966"/>
    <x v="26"/>
    <s v="BKK"/>
    <s v="DEL"/>
    <d v="2026-05-07T00:00:00"/>
    <n v="250"/>
    <x v="0"/>
    <x v="3"/>
    <n v="128"/>
    <n v="599938.30000000005"/>
    <n v="402195.79"/>
    <n v="197742.51000000007"/>
    <x v="6"/>
    <n v="0.51200000000000001"/>
  </r>
  <r>
    <s v="SK1967"/>
    <x v="18"/>
    <s v="DXB"/>
    <s v="LHR"/>
    <d v="2026-09-23T00:00:00"/>
    <n v="306"/>
    <x v="3"/>
    <x v="0"/>
    <n v="78"/>
    <n v="1105665.56"/>
    <n v="388225.59"/>
    <n v="717439.97"/>
    <x v="8"/>
    <n v="0.26"/>
  </r>
  <r>
    <s v="SK1968"/>
    <x v="62"/>
    <s v="JFK"/>
    <s v="CCU"/>
    <d v="2026-02-22T00:00:00"/>
    <n v="189"/>
    <x v="1"/>
    <x v="1"/>
    <n v="128"/>
    <n v="1104639.05"/>
    <n v="279458.13"/>
    <n v="825180.92"/>
    <x v="3"/>
    <n v="0.85333333333333339"/>
  </r>
  <r>
    <s v="SK1969"/>
    <x v="54"/>
    <s v="SIN"/>
    <s v="JFK"/>
    <d v="2026-08-08T00:00:00"/>
    <n v="457"/>
    <x v="3"/>
    <x v="2"/>
    <n v="101"/>
    <n v="617181.29"/>
    <n v="357636.11"/>
    <n v="259545.18000000005"/>
    <x v="0"/>
    <n v="0.56111111111111112"/>
  </r>
  <r>
    <s v="SK1970"/>
    <x v="19"/>
    <s v="BLR"/>
    <s v="BKK"/>
    <d v="2026-06-09T00:00:00"/>
    <n v="323"/>
    <x v="2"/>
    <x v="2"/>
    <n v="145"/>
    <n v="1574041.4"/>
    <n v="432897.5"/>
    <n v="1141143.8999999999"/>
    <x v="2"/>
    <n v="0.80555555555555558"/>
  </r>
  <r>
    <s v="SK1971"/>
    <x v="35"/>
    <s v="DXB"/>
    <s v="BLR"/>
    <d v="2026-03-12T00:00:00"/>
    <n v="524"/>
    <x v="1"/>
    <x v="2"/>
    <n v="174"/>
    <n v="2219763.34"/>
    <n v="364252.22"/>
    <n v="1855511.1199999999"/>
    <x v="4"/>
    <n v="0.96666666666666667"/>
  </r>
  <r>
    <s v="SK1972"/>
    <x v="86"/>
    <s v="MAA"/>
    <s v="DXB"/>
    <d v="2026-10-04T00:00:00"/>
    <n v="511"/>
    <x v="1"/>
    <x v="3"/>
    <n v="243"/>
    <n v="861824.25"/>
    <n v="487891.24"/>
    <n v="373933.01"/>
    <x v="9"/>
    <n v="0.97199999999999998"/>
  </r>
  <r>
    <s v="SK1973"/>
    <x v="75"/>
    <s v="DXB"/>
    <s v="JFK"/>
    <d v="2026-07-26T00:00:00"/>
    <n v="324"/>
    <x v="2"/>
    <x v="3"/>
    <n v="85"/>
    <n v="734639.66"/>
    <n v="461508.23"/>
    <n v="273131.43000000005"/>
    <x v="5"/>
    <n v="0.34"/>
  </r>
  <r>
    <s v="SK1974"/>
    <x v="26"/>
    <s v="BKK"/>
    <s v="DEL"/>
    <d v="2026-05-23T00:00:00"/>
    <n v="510"/>
    <x v="0"/>
    <x v="3"/>
    <n v="159"/>
    <n v="2053521.54"/>
    <n v="641090.19999999995"/>
    <n v="1412431.34"/>
    <x v="6"/>
    <n v="0.63600000000000001"/>
  </r>
  <r>
    <s v="SK1975"/>
    <x v="2"/>
    <s v="DEL"/>
    <s v="JFK"/>
    <d v="2026-10-16T00:00:00"/>
    <n v="199"/>
    <x v="2"/>
    <x v="0"/>
    <n v="62"/>
    <n v="792887.7"/>
    <n v="305674.18"/>
    <n v="487213.51999999996"/>
    <x v="9"/>
    <n v="0.20666666666666667"/>
  </r>
  <r>
    <s v="SK1976"/>
    <x v="31"/>
    <s v="DEL"/>
    <s v="DXB"/>
    <d v="2026-09-02T00:00:00"/>
    <n v="132"/>
    <x v="2"/>
    <x v="0"/>
    <n v="235"/>
    <n v="2138539.0299999998"/>
    <n v="253931.74"/>
    <n v="1884607.2899999998"/>
    <x v="8"/>
    <n v="0.78333333333333333"/>
  </r>
  <r>
    <s v="SK1977"/>
    <x v="48"/>
    <s v="CCU"/>
    <s v="LHR"/>
    <d v="2026-03-31T00:00:00"/>
    <n v="69"/>
    <x v="0"/>
    <x v="2"/>
    <n v="119"/>
    <n v="1702139.49"/>
    <n v="134941.91"/>
    <n v="1567197.58"/>
    <x v="4"/>
    <n v="0.66111111111111109"/>
  </r>
  <r>
    <s v="SK1978"/>
    <x v="61"/>
    <s v="BKK"/>
    <s v="DXB"/>
    <d v="2026-10-14T00:00:00"/>
    <n v="450"/>
    <x v="2"/>
    <x v="1"/>
    <n v="65"/>
    <n v="670414"/>
    <n v="415867.15"/>
    <n v="254546.84999999998"/>
    <x v="9"/>
    <n v="0.43333333333333335"/>
  </r>
  <r>
    <s v="SK1979"/>
    <x v="45"/>
    <s v="MAA"/>
    <s v="BKK"/>
    <d v="2026-07-15T00:00:00"/>
    <n v="235"/>
    <x v="0"/>
    <x v="3"/>
    <n v="159"/>
    <n v="2069795.52"/>
    <n v="367816.96000000002"/>
    <n v="1701978.56"/>
    <x v="5"/>
    <n v="0.63600000000000001"/>
  </r>
  <r>
    <s v="SK1980"/>
    <x v="39"/>
    <s v="LHR"/>
    <s v="DEL"/>
    <d v="2026-09-28T00:00:00"/>
    <n v="403"/>
    <x v="0"/>
    <x v="3"/>
    <n v="125"/>
    <n v="1415200.36"/>
    <n v="591787.23"/>
    <n v="823413.13000000012"/>
    <x v="8"/>
    <n v="0.5"/>
  </r>
  <r>
    <s v="SK1981"/>
    <x v="26"/>
    <s v="BKK"/>
    <s v="DEL"/>
    <d v="2026-09-03T00:00:00"/>
    <n v="67"/>
    <x v="1"/>
    <x v="0"/>
    <n v="260"/>
    <n v="1062865.72"/>
    <n v="214793.78"/>
    <n v="848071.94"/>
    <x v="8"/>
    <n v="0.8666666666666667"/>
  </r>
  <r>
    <s v="SK1982"/>
    <x v="65"/>
    <s v="CCU"/>
    <s v="BKK"/>
    <d v="2026-07-17T00:00:00"/>
    <n v="106"/>
    <x v="1"/>
    <x v="1"/>
    <n v="124"/>
    <n v="1538053.79"/>
    <n v="150396.46"/>
    <n v="1387657.33"/>
    <x v="5"/>
    <n v="0.82666666666666666"/>
  </r>
  <r>
    <s v="SK1983"/>
    <x v="35"/>
    <s v="DXB"/>
    <s v="BLR"/>
    <d v="2026-03-10T00:00:00"/>
    <n v="90"/>
    <x v="3"/>
    <x v="3"/>
    <n v="233"/>
    <n v="1337413.02"/>
    <n v="171562.99"/>
    <n v="1165850.03"/>
    <x v="4"/>
    <n v="0.93200000000000005"/>
  </r>
  <r>
    <s v="SK1984"/>
    <x v="17"/>
    <s v="LHR"/>
    <s v="JFK"/>
    <d v="2026-05-31T00:00:00"/>
    <n v="424"/>
    <x v="0"/>
    <x v="1"/>
    <n v="66"/>
    <n v="239573.81"/>
    <n v="413859.09"/>
    <n v="-174285.28000000003"/>
    <x v="6"/>
    <n v="0.44"/>
  </r>
  <r>
    <s v="SK1985"/>
    <x v="44"/>
    <s v="JFK"/>
    <s v="MAA"/>
    <d v="2026-07-19T00:00:00"/>
    <n v="114"/>
    <x v="3"/>
    <x v="2"/>
    <n v="151"/>
    <n v="936914.42"/>
    <n v="182123.51"/>
    <n v="754790.91"/>
    <x v="5"/>
    <n v="0.83888888888888891"/>
  </r>
  <r>
    <s v="SK1986"/>
    <x v="40"/>
    <s v="DEL"/>
    <s v="MAA"/>
    <d v="2026-08-27T00:00:00"/>
    <n v="326"/>
    <x v="3"/>
    <x v="2"/>
    <n v="177"/>
    <n v="1124535.7"/>
    <n v="305706.52"/>
    <n v="818829.17999999993"/>
    <x v="0"/>
    <n v="0.98333333333333328"/>
  </r>
  <r>
    <s v="SK1987"/>
    <x v="26"/>
    <s v="BKK"/>
    <s v="DEL"/>
    <d v="2026-02-12T00:00:00"/>
    <n v="464"/>
    <x v="0"/>
    <x v="2"/>
    <n v="95"/>
    <n v="1256524.2"/>
    <n v="501865.78"/>
    <n v="754658.41999999993"/>
    <x v="3"/>
    <n v="0.52777777777777779"/>
  </r>
  <r>
    <s v="SK1988"/>
    <x v="25"/>
    <s v="BLR"/>
    <s v="DEL"/>
    <d v="2026-09-06T00:00:00"/>
    <n v="89"/>
    <x v="0"/>
    <x v="0"/>
    <n v="162"/>
    <n v="1547150.68"/>
    <n v="215566.34"/>
    <n v="1331584.3399999999"/>
    <x v="8"/>
    <n v="0.54"/>
  </r>
  <r>
    <s v="SK1989"/>
    <x v="56"/>
    <s v="JFK"/>
    <s v="BOM"/>
    <d v="2026-08-27T00:00:00"/>
    <n v="72"/>
    <x v="3"/>
    <x v="0"/>
    <n v="221"/>
    <n v="2424866.6800000002"/>
    <n v="198390.25"/>
    <n v="2226476.4300000002"/>
    <x v="0"/>
    <n v="0.73666666666666669"/>
  </r>
  <r>
    <s v="SK1990"/>
    <x v="63"/>
    <s v="DXB"/>
    <s v="BOM"/>
    <d v="2026-10-03T00:00:00"/>
    <n v="155"/>
    <x v="3"/>
    <x v="1"/>
    <n v="81"/>
    <n v="437136.12"/>
    <n v="255280.35"/>
    <n v="181855.77"/>
    <x v="9"/>
    <n v="0.54"/>
  </r>
  <r>
    <s v="SK1991"/>
    <x v="38"/>
    <s v="SIN"/>
    <s v="CCU"/>
    <d v="2026-03-07T00:00:00"/>
    <n v="291"/>
    <x v="2"/>
    <x v="3"/>
    <n v="131"/>
    <n v="459550.53"/>
    <n v="272781.3"/>
    <n v="186769.23000000004"/>
    <x v="4"/>
    <n v="0.52400000000000002"/>
  </r>
  <r>
    <s v="SK1992"/>
    <x v="88"/>
    <s v="CCU"/>
    <s v="BLR"/>
    <d v="2026-08-31T00:00:00"/>
    <n v="251"/>
    <x v="3"/>
    <x v="0"/>
    <n v="138"/>
    <n v="1994251.98"/>
    <n v="300499.69"/>
    <n v="1693752.29"/>
    <x v="0"/>
    <n v="0.46"/>
  </r>
  <r>
    <s v="SK1993"/>
    <x v="86"/>
    <s v="MAA"/>
    <s v="DXB"/>
    <d v="2026-02-04T00:00:00"/>
    <n v="172"/>
    <x v="1"/>
    <x v="3"/>
    <n v="240"/>
    <n v="1745794.18"/>
    <n v="325029.34000000003"/>
    <n v="1420764.8399999999"/>
    <x v="3"/>
    <n v="0.96"/>
  </r>
  <r>
    <s v="SK1994"/>
    <x v="52"/>
    <s v="BLR"/>
    <s v="SIN"/>
    <d v="2026-02-03T00:00:00"/>
    <n v="302"/>
    <x v="0"/>
    <x v="3"/>
    <n v="52"/>
    <n v="634059.97"/>
    <n v="290448.69"/>
    <n v="343611.27999999997"/>
    <x v="3"/>
    <n v="0.20799999999999999"/>
  </r>
  <r>
    <s v="SK1995"/>
    <x v="2"/>
    <s v="DEL"/>
    <s v="JFK"/>
    <d v="2026-06-05T00:00:00"/>
    <n v="77"/>
    <x v="0"/>
    <x v="3"/>
    <n v="204"/>
    <n v="2856509.58"/>
    <n v="209358.26"/>
    <n v="2647151.3200000003"/>
    <x v="2"/>
    <n v="0.81599999999999995"/>
  </r>
  <r>
    <s v="SK1996"/>
    <x v="48"/>
    <s v="CCU"/>
    <s v="LHR"/>
    <d v="2026-06-14T00:00:00"/>
    <n v="485"/>
    <x v="2"/>
    <x v="0"/>
    <n v="241"/>
    <n v="1891600.89"/>
    <n v="614409.26"/>
    <n v="1277191.6299999999"/>
    <x v="2"/>
    <n v="0.80333333333333334"/>
  </r>
  <r>
    <s v="SK1997"/>
    <x v="59"/>
    <s v="MAA"/>
    <s v="BOM"/>
    <d v="2026-10-05T00:00:00"/>
    <n v="446"/>
    <x v="0"/>
    <x v="3"/>
    <n v="224"/>
    <n v="907063.14"/>
    <n v="522176.62"/>
    <n v="384886.52"/>
    <x v="9"/>
    <n v="0.89600000000000002"/>
  </r>
  <r>
    <s v="SK1998"/>
    <x v="67"/>
    <s v="BLR"/>
    <s v="MAA"/>
    <d v="2026-08-08T00:00:00"/>
    <n v="527"/>
    <x v="2"/>
    <x v="2"/>
    <n v="95"/>
    <n v="1291592.07"/>
    <n v="614685.38"/>
    <n v="676906.69000000006"/>
    <x v="0"/>
    <n v="0.52777777777777779"/>
  </r>
  <r>
    <s v="SK1999"/>
    <x v="47"/>
    <s v="LHR"/>
    <s v="DXB"/>
    <d v="2026-02-27T00:00:00"/>
    <n v="60"/>
    <x v="1"/>
    <x v="1"/>
    <n v="149"/>
    <n v="1516476.22"/>
    <n v="123322.5"/>
    <n v="1393153.72"/>
    <x v="3"/>
    <n v="0.99333333333333329"/>
  </r>
  <r>
    <s v="SK2000"/>
    <x v="17"/>
    <s v="LHR"/>
    <s v="JFK"/>
    <d v="2026-01-23T00:00:00"/>
    <n v="274"/>
    <x v="0"/>
    <x v="2"/>
    <n v="180"/>
    <n v="1121493.73"/>
    <n v="313044.02"/>
    <n v="808449.71"/>
    <x v="1"/>
    <n v="1"/>
  </r>
  <r>
    <m/>
    <x v="90"/>
    <m/>
    <m/>
    <m/>
    <m/>
    <x v="4"/>
    <x v="4"/>
    <m/>
    <m/>
    <m/>
    <m/>
    <x v="1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0BE31-6504-4CB4-85BA-550A53F8D0F3}" name="PivotTable1" cacheId="5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5" firstHeaderRow="1" firstDataRow="1" firstDataCol="1"/>
  <pivotFields count="14">
    <pivotField compact="0" outline="0" showAll="0"/>
    <pivotField compact="0" outline="0" showAll="0">
      <items count="92">
        <item x="41"/>
        <item x="42"/>
        <item x="68"/>
        <item x="26"/>
        <item x="61"/>
        <item x="73"/>
        <item x="13"/>
        <item x="81"/>
        <item x="46"/>
        <item x="19"/>
        <item x="76"/>
        <item x="11"/>
        <item x="25"/>
        <item x="29"/>
        <item x="50"/>
        <item x="89"/>
        <item x="67"/>
        <item x="52"/>
        <item x="24"/>
        <item x="9"/>
        <item x="32"/>
        <item x="83"/>
        <item x="58"/>
        <item x="82"/>
        <item x="4"/>
        <item x="64"/>
        <item x="14"/>
        <item x="65"/>
        <item x="88"/>
        <item x="22"/>
        <item x="16"/>
        <item x="80"/>
        <item x="66"/>
        <item x="48"/>
        <item x="37"/>
        <item x="70"/>
        <item x="51"/>
        <item x="77"/>
        <item x="33"/>
        <item x="79"/>
        <item x="31"/>
        <item x="2"/>
        <item x="30"/>
        <item x="40"/>
        <item x="20"/>
        <item x="71"/>
        <item x="35"/>
        <item x="63"/>
        <item x="7"/>
        <item x="6"/>
        <item x="75"/>
        <item x="18"/>
        <item x="8"/>
        <item x="10"/>
        <item x="49"/>
        <item x="1"/>
        <item x="56"/>
        <item x="62"/>
        <item x="0"/>
        <item x="15"/>
        <item x="36"/>
        <item x="44"/>
        <item x="3"/>
        <item x="74"/>
        <item x="55"/>
        <item x="72"/>
        <item x="28"/>
        <item x="39"/>
        <item x="47"/>
        <item x="17"/>
        <item x="21"/>
        <item x="60"/>
        <item x="45"/>
        <item x="69"/>
        <item x="59"/>
        <item x="43"/>
        <item x="57"/>
        <item x="86"/>
        <item x="84"/>
        <item x="12"/>
        <item x="5"/>
        <item x="34"/>
        <item x="27"/>
        <item x="87"/>
        <item x="38"/>
        <item x="23"/>
        <item x="85"/>
        <item x="54"/>
        <item x="78"/>
        <item x="53"/>
        <item x="9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3"/>
        <item x="1"/>
        <item x="2"/>
        <item x="0"/>
        <item x="4"/>
        <item t="default"/>
      </items>
    </pivotField>
    <pivotField compact="0" outline="0" showAll="0">
      <items count="6">
        <item x="1"/>
        <item x="2"/>
        <item x="3"/>
        <item x="0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2">
        <item x="1"/>
        <item x="3"/>
        <item x="4"/>
        <item x="7"/>
        <item x="6"/>
        <item x="2"/>
        <item x="5"/>
        <item x="0"/>
        <item x="8"/>
        <item x="9"/>
        <item x="10"/>
        <item t="default"/>
      </items>
    </pivotField>
    <pivotField compact="0" outline="0" showAll="0"/>
  </pivotFields>
  <rowFields count="1">
    <field x="1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Profi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ircraftType" xr10:uid="{6ABE13E7-36C8-4406-83D6-6DEFA468CEED}" sourceName="AircraftType">
  <pivotTables>
    <pivotTable tabId="2" name="PivotTable1"/>
  </pivotTables>
  <data>
    <tabular pivotCacheId="341842915">
      <items count="5">
        <i x="3" s="1"/>
        <i x="1" s="1"/>
        <i x="2" s="1"/>
        <i x="0" s="1"/>
        <i x="4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outeCode" xr10:uid="{1484E66E-27FE-4983-A581-67F3DC924D0F}" sourceName="RouteCode">
  <pivotTables>
    <pivotTable tabId="2" name="PivotTable1"/>
  </pivotTables>
  <data>
    <tabular pivotCacheId="341842915">
      <items count="91">
        <i x="41" s="1"/>
        <i x="42" s="1"/>
        <i x="68" s="1"/>
        <i x="26" s="1"/>
        <i x="61" s="1"/>
        <i x="73" s="1"/>
        <i x="13" s="1"/>
        <i x="81" s="1"/>
        <i x="46" s="1"/>
        <i x="19" s="1"/>
        <i x="76" s="1"/>
        <i x="11" s="1"/>
        <i x="25" s="1"/>
        <i x="29" s="1"/>
        <i x="50" s="1"/>
        <i x="89" s="1"/>
        <i x="67" s="1"/>
        <i x="52" s="1"/>
        <i x="24" s="1"/>
        <i x="9" s="1"/>
        <i x="32" s="1"/>
        <i x="83" s="1"/>
        <i x="58" s="1"/>
        <i x="82" s="1"/>
        <i x="4" s="1"/>
        <i x="64" s="1"/>
        <i x="14" s="1"/>
        <i x="65" s="1"/>
        <i x="88" s="1"/>
        <i x="22" s="1"/>
        <i x="16" s="1"/>
        <i x="80" s="1"/>
        <i x="66" s="1"/>
        <i x="48" s="1"/>
        <i x="37" s="1"/>
        <i x="70" s="1"/>
        <i x="51" s="1"/>
        <i x="77" s="1"/>
        <i x="33" s="1"/>
        <i x="79" s="1"/>
        <i x="31" s="1"/>
        <i x="2" s="1"/>
        <i x="30" s="1"/>
        <i x="40" s="1"/>
        <i x="20" s="1"/>
        <i x="71" s="1"/>
        <i x="35" s="1"/>
        <i x="63" s="1"/>
        <i x="7" s="1"/>
        <i x="6" s="1"/>
        <i x="75" s="1"/>
        <i x="18" s="1"/>
        <i x="8" s="1"/>
        <i x="10" s="1"/>
        <i x="49" s="1"/>
        <i x="1" s="1"/>
        <i x="56" s="1"/>
        <i x="62" s="1"/>
        <i x="0" s="1"/>
        <i x="15" s="1"/>
        <i x="36" s="1"/>
        <i x="44" s="1"/>
        <i x="3" s="1"/>
        <i x="74" s="1"/>
        <i x="55" s="1"/>
        <i x="72" s="1"/>
        <i x="28" s="1"/>
        <i x="39" s="1"/>
        <i x="47" s="1"/>
        <i x="17" s="1"/>
        <i x="21" s="1"/>
        <i x="60" s="1"/>
        <i x="45" s="1"/>
        <i x="69" s="1"/>
        <i x="59" s="1"/>
        <i x="43" s="1"/>
        <i x="57" s="1"/>
        <i x="86" s="1"/>
        <i x="84" s="1"/>
        <i x="12" s="1"/>
        <i x="5" s="1"/>
        <i x="34" s="1"/>
        <i x="27" s="1"/>
        <i x="87" s="1"/>
        <i x="38" s="1"/>
        <i x="23" s="1"/>
        <i x="85" s="1"/>
        <i x="54" s="1"/>
        <i x="78" s="1"/>
        <i x="53" s="1"/>
        <i x="90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tsAvailable" xr10:uid="{32992261-0CCF-4D50-8CE4-5132FE056AA8}" sourceName="SeatsAvailable">
  <pivotTables>
    <pivotTable tabId="2" name="PivotTable1"/>
  </pivotTables>
  <data>
    <tabular pivotCacheId="341842915">
      <items count="5">
        <i x="1" s="1"/>
        <i x="2" s="1"/>
        <i x="3" s="1"/>
        <i x="0" s="1"/>
        <i x="4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lightMonth" xr10:uid="{6730E1F4-291D-4100-BCEB-92AB5C163EBA}" sourceName="FlightMonth">
  <pivotTables>
    <pivotTable tabId="2" name="PivotTable1"/>
  </pivotTables>
  <data>
    <tabular pivotCacheId="341842915">
      <items count="11">
        <i x="1" s="1"/>
        <i x="3" s="1"/>
        <i x="4" s="1"/>
        <i x="7" s="1"/>
        <i x="6" s="1"/>
        <i x="2" s="1"/>
        <i x="5" s="1"/>
        <i x="0" s="1"/>
        <i x="8" s="1"/>
        <i x="9" s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ircraftType" xr10:uid="{2535E02C-6D98-4B35-A819-787FBCD59363}" cache="Slicer_AircraftType" caption="AircraftType" rowHeight="228600"/>
  <slicer name="RouteCode" xr10:uid="{FB5411F3-2F61-4D98-9189-F4985BF48AB2}" cache="Slicer_RouteCode" caption="RouteCode" rowHeight="228600"/>
  <slicer name="SeatsAvailable" xr10:uid="{39B71573-AE99-4A9A-8000-2303416BCC23}" cache="Slicer_SeatsAvailable" caption="SeatsAvailable" rowHeight="228600"/>
  <slicer name="FlightMonth" xr10:uid="{ECC72213-1592-40B9-94F9-BE783353BAC0}" cache="Slicer_FlightMonth" caption="FlightMonth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EF13-FD2F-4DC2-B073-88BD21A900CE}">
  <dimension ref="A3:B15"/>
  <sheetViews>
    <sheetView tabSelected="1" workbookViewId="0">
      <selection activeCell="B4" sqref="B4"/>
    </sheetView>
  </sheetViews>
  <sheetFormatPr defaultRowHeight="15"/>
  <cols>
    <col min="1" max="1" width="15.28515625" bestFit="1" customWidth="1"/>
    <col min="2" max="2" width="12.85546875" bestFit="1" customWidth="1"/>
  </cols>
  <sheetData>
    <row r="3" spans="1:2">
      <c r="A3" s="2" t="s">
        <v>0</v>
      </c>
      <c r="B3" t="s">
        <v>1</v>
      </c>
    </row>
    <row r="4" spans="1:2">
      <c r="A4" t="s">
        <v>2</v>
      </c>
      <c r="B4" s="3">
        <v>90651722.299999982</v>
      </c>
    </row>
    <row r="5" spans="1:2">
      <c r="A5" t="s">
        <v>3</v>
      </c>
      <c r="B5" s="3">
        <v>75136900.24999997</v>
      </c>
    </row>
    <row r="6" spans="1:2">
      <c r="A6" t="s">
        <v>4</v>
      </c>
      <c r="B6" s="3">
        <v>88744012.230000004</v>
      </c>
    </row>
    <row r="7" spans="1:2">
      <c r="A7" t="s">
        <v>5</v>
      </c>
      <c r="B7" s="3">
        <v>76121973.930000007</v>
      </c>
    </row>
    <row r="8" spans="1:2">
      <c r="A8" t="s">
        <v>6</v>
      </c>
      <c r="B8" s="3">
        <v>88406570.480000019</v>
      </c>
    </row>
    <row r="9" spans="1:2">
      <c r="A9" t="s">
        <v>7</v>
      </c>
      <c r="B9" s="3">
        <v>76006832.51000002</v>
      </c>
    </row>
    <row r="10" spans="1:2">
      <c r="A10" t="s">
        <v>8</v>
      </c>
      <c r="B10" s="3">
        <v>87568392.549999997</v>
      </c>
    </row>
    <row r="11" spans="1:2">
      <c r="A11" t="s">
        <v>9</v>
      </c>
      <c r="B11" s="3">
        <v>92439863.840000048</v>
      </c>
    </row>
    <row r="12" spans="1:2">
      <c r="A12" t="s">
        <v>10</v>
      </c>
      <c r="B12" s="3">
        <v>88685213.320000008</v>
      </c>
    </row>
    <row r="13" spans="1:2">
      <c r="A13" t="s">
        <v>11</v>
      </c>
      <c r="B13" s="3">
        <v>70368387.769999966</v>
      </c>
    </row>
    <row r="14" spans="1:2">
      <c r="A14" t="s">
        <v>12</v>
      </c>
      <c r="B14" s="3"/>
    </row>
    <row r="15" spans="1:2">
      <c r="A15" t="s">
        <v>13</v>
      </c>
      <c r="B15" s="3">
        <v>834129869.18000007</v>
      </c>
    </row>
  </sheetData>
  <printOptions horizontalCentered="1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0EAB-37D7-43D6-9404-55E0092305CF}">
  <dimension ref="A1:N1001"/>
  <sheetViews>
    <sheetView workbookViewId="0">
      <selection sqref="A1:N1048576"/>
    </sheetView>
  </sheetViews>
  <sheetFormatPr defaultRowHeight="15"/>
  <cols>
    <col min="5" max="5" width="11.42578125" bestFit="1" customWidth="1"/>
    <col min="11" max="11" width="15.42578125" bestFit="1" customWidth="1"/>
    <col min="13" max="13" width="11.85546875" bestFit="1" customWidth="1"/>
    <col min="14" max="14" width="15.28515625" bestFit="1" customWidth="1"/>
  </cols>
  <sheetData>
    <row r="1" spans="1:14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0</v>
      </c>
      <c r="N1" t="s">
        <v>26</v>
      </c>
    </row>
    <row r="2" spans="1:14">
      <c r="A2" t="s">
        <v>27</v>
      </c>
      <c r="B2" t="s">
        <v>28</v>
      </c>
      <c r="C2" t="s">
        <v>29</v>
      </c>
      <c r="D2" t="s">
        <v>30</v>
      </c>
      <c r="E2" s="1">
        <v>46237</v>
      </c>
      <c r="F2">
        <v>390</v>
      </c>
      <c r="G2" t="s">
        <v>31</v>
      </c>
      <c r="H2">
        <v>300</v>
      </c>
      <c r="I2">
        <v>166</v>
      </c>
      <c r="J2">
        <v>1695421.1</v>
      </c>
      <c r="K2">
        <v>538303.81000000006</v>
      </c>
      <c r="L2">
        <f>J2-K2</f>
        <v>1157117.29</v>
      </c>
      <c r="M2" t="str">
        <f>TEXT(E2,"YYYY-MM")</f>
        <v>2026-08</v>
      </c>
      <c r="N2">
        <f>I2/H2</f>
        <v>0.55333333333333334</v>
      </c>
    </row>
    <row r="3" spans="1:14">
      <c r="A3" t="s">
        <v>32</v>
      </c>
      <c r="B3" t="s">
        <v>33</v>
      </c>
      <c r="C3" t="s">
        <v>29</v>
      </c>
      <c r="D3" t="s">
        <v>34</v>
      </c>
      <c r="E3" s="1">
        <v>46044</v>
      </c>
      <c r="F3">
        <v>312</v>
      </c>
      <c r="G3" t="s">
        <v>35</v>
      </c>
      <c r="H3">
        <v>150</v>
      </c>
      <c r="I3">
        <v>98</v>
      </c>
      <c r="J3">
        <v>911135</v>
      </c>
      <c r="K3">
        <v>318329.64</v>
      </c>
      <c r="L3">
        <f t="shared" ref="L3:L66" si="0">J3-K3</f>
        <v>592805.36</v>
      </c>
      <c r="M3" t="str">
        <f t="shared" ref="M3:M66" si="1">TEXT(E3,"YYYY-MM")</f>
        <v>2026-01</v>
      </c>
      <c r="N3">
        <f t="shared" ref="N3:N66" si="2">I3/H3</f>
        <v>0.65333333333333332</v>
      </c>
    </row>
    <row r="4" spans="1:14">
      <c r="A4" t="s">
        <v>36</v>
      </c>
      <c r="B4" t="s">
        <v>37</v>
      </c>
      <c r="C4" t="s">
        <v>30</v>
      </c>
      <c r="D4" t="s">
        <v>29</v>
      </c>
      <c r="E4" s="1">
        <v>46189</v>
      </c>
      <c r="F4">
        <v>333</v>
      </c>
      <c r="G4" t="s">
        <v>35</v>
      </c>
      <c r="H4">
        <v>150</v>
      </c>
      <c r="I4">
        <v>109</v>
      </c>
      <c r="J4">
        <v>1063780.99</v>
      </c>
      <c r="K4">
        <v>331340.59000000003</v>
      </c>
      <c r="L4">
        <f t="shared" si="0"/>
        <v>732440.39999999991</v>
      </c>
      <c r="M4" t="str">
        <f t="shared" si="1"/>
        <v>2026-06</v>
      </c>
      <c r="N4">
        <f t="shared" si="2"/>
        <v>0.72666666666666668</v>
      </c>
    </row>
    <row r="5" spans="1:14">
      <c r="A5" t="s">
        <v>38</v>
      </c>
      <c r="B5" t="s">
        <v>39</v>
      </c>
      <c r="C5" t="s">
        <v>29</v>
      </c>
      <c r="D5" t="s">
        <v>40</v>
      </c>
      <c r="E5" s="1">
        <v>46057</v>
      </c>
      <c r="F5">
        <v>265</v>
      </c>
      <c r="G5" t="s">
        <v>41</v>
      </c>
      <c r="H5">
        <v>300</v>
      </c>
      <c r="I5">
        <v>99</v>
      </c>
      <c r="J5">
        <v>1084076.47</v>
      </c>
      <c r="K5">
        <v>340322.4</v>
      </c>
      <c r="L5">
        <f t="shared" si="0"/>
        <v>743754.07</v>
      </c>
      <c r="M5" t="str">
        <f t="shared" si="1"/>
        <v>2026-02</v>
      </c>
      <c r="N5">
        <f t="shared" si="2"/>
        <v>0.33</v>
      </c>
    </row>
    <row r="6" spans="1:14">
      <c r="A6" t="s">
        <v>42</v>
      </c>
      <c r="B6" t="s">
        <v>43</v>
      </c>
      <c r="C6" t="s">
        <v>44</v>
      </c>
      <c r="D6" t="s">
        <v>45</v>
      </c>
      <c r="E6" s="1">
        <v>46066</v>
      </c>
      <c r="F6">
        <v>221</v>
      </c>
      <c r="G6" t="s">
        <v>46</v>
      </c>
      <c r="H6">
        <v>180</v>
      </c>
      <c r="I6">
        <v>63</v>
      </c>
      <c r="J6">
        <v>738817.63</v>
      </c>
      <c r="K6">
        <v>251015.86</v>
      </c>
      <c r="L6">
        <f t="shared" si="0"/>
        <v>487801.77</v>
      </c>
      <c r="M6" t="str">
        <f t="shared" si="1"/>
        <v>2026-02</v>
      </c>
      <c r="N6">
        <f t="shared" si="2"/>
        <v>0.35</v>
      </c>
    </row>
    <row r="7" spans="1:14">
      <c r="A7" t="s">
        <v>47</v>
      </c>
      <c r="B7" t="s">
        <v>48</v>
      </c>
      <c r="C7" t="s">
        <v>49</v>
      </c>
      <c r="D7" t="s">
        <v>40</v>
      </c>
      <c r="E7" s="1">
        <v>46239</v>
      </c>
      <c r="F7">
        <v>247</v>
      </c>
      <c r="G7" t="s">
        <v>35</v>
      </c>
      <c r="H7">
        <v>150</v>
      </c>
      <c r="I7">
        <v>90</v>
      </c>
      <c r="J7">
        <v>589975.39</v>
      </c>
      <c r="K7">
        <v>227074.65</v>
      </c>
      <c r="L7">
        <f t="shared" si="0"/>
        <v>362900.74</v>
      </c>
      <c r="M7" t="str">
        <f t="shared" si="1"/>
        <v>2026-08</v>
      </c>
      <c r="N7">
        <f t="shared" si="2"/>
        <v>0.6</v>
      </c>
    </row>
    <row r="8" spans="1:14">
      <c r="A8" t="s">
        <v>50</v>
      </c>
      <c r="B8" t="s">
        <v>51</v>
      </c>
      <c r="C8" t="s">
        <v>52</v>
      </c>
      <c r="D8" t="s">
        <v>30</v>
      </c>
      <c r="E8" s="1">
        <v>46185</v>
      </c>
      <c r="F8">
        <v>478</v>
      </c>
      <c r="G8" t="s">
        <v>41</v>
      </c>
      <c r="H8">
        <v>250</v>
      </c>
      <c r="I8">
        <v>54</v>
      </c>
      <c r="J8">
        <v>762242.97</v>
      </c>
      <c r="K8">
        <v>581850.37</v>
      </c>
      <c r="L8">
        <f t="shared" si="0"/>
        <v>180392.59999999998</v>
      </c>
      <c r="M8" t="str">
        <f t="shared" si="1"/>
        <v>2026-06</v>
      </c>
      <c r="N8">
        <f t="shared" si="2"/>
        <v>0.216</v>
      </c>
    </row>
    <row r="9" spans="1:14">
      <c r="A9" t="s">
        <v>53</v>
      </c>
      <c r="B9" t="s">
        <v>54</v>
      </c>
      <c r="C9" t="s">
        <v>52</v>
      </c>
      <c r="D9" t="s">
        <v>55</v>
      </c>
      <c r="E9" s="1">
        <v>46084</v>
      </c>
      <c r="F9">
        <v>158</v>
      </c>
      <c r="G9" t="s">
        <v>35</v>
      </c>
      <c r="H9">
        <v>300</v>
      </c>
      <c r="I9">
        <v>263</v>
      </c>
      <c r="J9">
        <v>3589043.42</v>
      </c>
      <c r="K9">
        <v>281226.96999999997</v>
      </c>
      <c r="L9">
        <f t="shared" si="0"/>
        <v>3307816.45</v>
      </c>
      <c r="M9" t="str">
        <f t="shared" si="1"/>
        <v>2026-03</v>
      </c>
      <c r="N9">
        <f t="shared" si="2"/>
        <v>0.87666666666666671</v>
      </c>
    </row>
    <row r="10" spans="1:14">
      <c r="A10" t="s">
        <v>56</v>
      </c>
      <c r="B10" t="s">
        <v>57</v>
      </c>
      <c r="C10" t="s">
        <v>52</v>
      </c>
      <c r="D10" t="s">
        <v>49</v>
      </c>
      <c r="E10" s="1">
        <v>46064</v>
      </c>
      <c r="F10">
        <v>520</v>
      </c>
      <c r="G10" t="s">
        <v>31</v>
      </c>
      <c r="H10">
        <v>250</v>
      </c>
      <c r="I10">
        <v>145</v>
      </c>
      <c r="J10">
        <v>1542354.12</v>
      </c>
      <c r="K10">
        <v>499425.58</v>
      </c>
      <c r="L10">
        <f t="shared" si="0"/>
        <v>1042928.54</v>
      </c>
      <c r="M10" t="str">
        <f t="shared" si="1"/>
        <v>2026-02</v>
      </c>
      <c r="N10">
        <f t="shared" si="2"/>
        <v>0.57999999999999996</v>
      </c>
    </row>
    <row r="11" spans="1:14">
      <c r="A11" t="s">
        <v>58</v>
      </c>
      <c r="B11" t="s">
        <v>51</v>
      </c>
      <c r="C11" t="s">
        <v>52</v>
      </c>
      <c r="D11" t="s">
        <v>30</v>
      </c>
      <c r="E11" s="1">
        <v>46209</v>
      </c>
      <c r="F11">
        <v>302</v>
      </c>
      <c r="G11" t="s">
        <v>46</v>
      </c>
      <c r="H11">
        <v>300</v>
      </c>
      <c r="I11">
        <v>115</v>
      </c>
      <c r="J11">
        <v>1206608.5900000001</v>
      </c>
      <c r="K11">
        <v>363496.96000000002</v>
      </c>
      <c r="L11">
        <f t="shared" si="0"/>
        <v>843111.63000000012</v>
      </c>
      <c r="M11" t="str">
        <f t="shared" si="1"/>
        <v>2026-07</v>
      </c>
      <c r="N11">
        <f t="shared" si="2"/>
        <v>0.38333333333333336</v>
      </c>
    </row>
    <row r="12" spans="1:14">
      <c r="A12" t="s">
        <v>59</v>
      </c>
      <c r="B12" t="s">
        <v>60</v>
      </c>
      <c r="C12" t="s">
        <v>44</v>
      </c>
      <c r="D12" t="s">
        <v>34</v>
      </c>
      <c r="E12" s="1">
        <v>46150</v>
      </c>
      <c r="F12">
        <v>565</v>
      </c>
      <c r="G12" t="s">
        <v>31</v>
      </c>
      <c r="H12">
        <v>300</v>
      </c>
      <c r="I12">
        <v>266</v>
      </c>
      <c r="J12">
        <v>1813067.09</v>
      </c>
      <c r="K12">
        <v>476025.54</v>
      </c>
      <c r="L12">
        <f t="shared" si="0"/>
        <v>1337041.55</v>
      </c>
      <c r="M12" t="str">
        <f t="shared" si="1"/>
        <v>2026-05</v>
      </c>
      <c r="N12">
        <f t="shared" si="2"/>
        <v>0.88666666666666671</v>
      </c>
    </row>
    <row r="13" spans="1:14">
      <c r="A13" t="s">
        <v>61</v>
      </c>
      <c r="B13" t="s">
        <v>62</v>
      </c>
      <c r="C13" t="s">
        <v>52</v>
      </c>
      <c r="D13" t="s">
        <v>40</v>
      </c>
      <c r="E13" s="1">
        <v>46159</v>
      </c>
      <c r="F13">
        <v>377</v>
      </c>
      <c r="G13" t="s">
        <v>41</v>
      </c>
      <c r="H13">
        <v>150</v>
      </c>
      <c r="I13">
        <v>100</v>
      </c>
      <c r="J13">
        <v>623294.80000000005</v>
      </c>
      <c r="K13">
        <v>327924.73</v>
      </c>
      <c r="L13">
        <f t="shared" si="0"/>
        <v>295370.07000000007</v>
      </c>
      <c r="M13" t="str">
        <f t="shared" si="1"/>
        <v>2026-05</v>
      </c>
      <c r="N13">
        <f t="shared" si="2"/>
        <v>0.66666666666666663</v>
      </c>
    </row>
    <row r="14" spans="1:14">
      <c r="A14" t="s">
        <v>63</v>
      </c>
      <c r="B14" t="s">
        <v>64</v>
      </c>
      <c r="C14" t="s">
        <v>34</v>
      </c>
      <c r="D14" t="s">
        <v>55</v>
      </c>
      <c r="E14" s="1">
        <v>46135</v>
      </c>
      <c r="F14">
        <v>140</v>
      </c>
      <c r="G14" t="s">
        <v>31</v>
      </c>
      <c r="H14">
        <v>150</v>
      </c>
      <c r="I14">
        <v>51</v>
      </c>
      <c r="J14">
        <v>460639.56</v>
      </c>
      <c r="K14">
        <v>150044.92000000001</v>
      </c>
      <c r="L14">
        <f t="shared" si="0"/>
        <v>310594.64</v>
      </c>
      <c r="M14" t="str">
        <f t="shared" si="1"/>
        <v>2026-04</v>
      </c>
      <c r="N14">
        <f t="shared" si="2"/>
        <v>0.34</v>
      </c>
    </row>
    <row r="15" spans="1:14">
      <c r="A15" t="s">
        <v>65</v>
      </c>
      <c r="B15" t="s">
        <v>66</v>
      </c>
      <c r="C15" t="s">
        <v>49</v>
      </c>
      <c r="D15" t="s">
        <v>45</v>
      </c>
      <c r="E15" s="1">
        <v>46220</v>
      </c>
      <c r="F15">
        <v>475</v>
      </c>
      <c r="G15" t="s">
        <v>31</v>
      </c>
      <c r="H15">
        <v>300</v>
      </c>
      <c r="I15">
        <v>232</v>
      </c>
      <c r="J15">
        <v>2816349.01</v>
      </c>
      <c r="K15">
        <v>466514.48</v>
      </c>
      <c r="L15">
        <f t="shared" si="0"/>
        <v>2349834.5299999998</v>
      </c>
      <c r="M15" t="str">
        <f t="shared" si="1"/>
        <v>2026-07</v>
      </c>
      <c r="N15">
        <f t="shared" si="2"/>
        <v>0.77333333333333332</v>
      </c>
    </row>
    <row r="16" spans="1:14">
      <c r="A16" t="s">
        <v>67</v>
      </c>
      <c r="B16" t="s">
        <v>68</v>
      </c>
      <c r="C16" t="s">
        <v>69</v>
      </c>
      <c r="D16" t="s">
        <v>45</v>
      </c>
      <c r="E16" s="1">
        <v>46146</v>
      </c>
      <c r="F16">
        <v>246</v>
      </c>
      <c r="G16" t="s">
        <v>46</v>
      </c>
      <c r="H16">
        <v>300</v>
      </c>
      <c r="I16">
        <v>142</v>
      </c>
      <c r="J16">
        <v>1888643.4</v>
      </c>
      <c r="K16">
        <v>329130.12</v>
      </c>
      <c r="L16">
        <f t="shared" si="0"/>
        <v>1559513.2799999998</v>
      </c>
      <c r="M16" t="str">
        <f t="shared" si="1"/>
        <v>2026-05</v>
      </c>
      <c r="N16">
        <f t="shared" si="2"/>
        <v>0.47333333333333333</v>
      </c>
    </row>
    <row r="17" spans="1:14">
      <c r="A17" t="s">
        <v>70</v>
      </c>
      <c r="B17" t="s">
        <v>71</v>
      </c>
      <c r="C17" t="s">
        <v>44</v>
      </c>
      <c r="D17" t="s">
        <v>40</v>
      </c>
      <c r="E17" s="1">
        <v>46150</v>
      </c>
      <c r="F17">
        <v>397</v>
      </c>
      <c r="G17" t="s">
        <v>35</v>
      </c>
      <c r="H17">
        <v>150</v>
      </c>
      <c r="I17">
        <v>60</v>
      </c>
      <c r="J17">
        <v>425567.77</v>
      </c>
      <c r="K17">
        <v>305034.28999999998</v>
      </c>
      <c r="L17">
        <f t="shared" si="0"/>
        <v>120533.48000000004</v>
      </c>
      <c r="M17" t="str">
        <f t="shared" si="1"/>
        <v>2026-05</v>
      </c>
      <c r="N17">
        <f t="shared" si="2"/>
        <v>0.4</v>
      </c>
    </row>
    <row r="18" spans="1:14">
      <c r="A18" t="s">
        <v>72</v>
      </c>
      <c r="B18" t="s">
        <v>73</v>
      </c>
      <c r="C18" t="s">
        <v>29</v>
      </c>
      <c r="D18" t="s">
        <v>52</v>
      </c>
      <c r="E18" s="1">
        <v>46276</v>
      </c>
      <c r="F18">
        <v>512</v>
      </c>
      <c r="G18" t="s">
        <v>41</v>
      </c>
      <c r="H18">
        <v>300</v>
      </c>
      <c r="I18">
        <v>300</v>
      </c>
      <c r="J18">
        <v>1579345.59</v>
      </c>
      <c r="K18">
        <v>505947.49</v>
      </c>
      <c r="L18">
        <f t="shared" si="0"/>
        <v>1073398.1000000001</v>
      </c>
      <c r="M18" t="str">
        <f t="shared" si="1"/>
        <v>2026-09</v>
      </c>
      <c r="N18">
        <f t="shared" si="2"/>
        <v>1</v>
      </c>
    </row>
    <row r="19" spans="1:14">
      <c r="A19" t="s">
        <v>74</v>
      </c>
      <c r="B19" t="s">
        <v>75</v>
      </c>
      <c r="C19" t="s">
        <v>55</v>
      </c>
      <c r="D19" t="s">
        <v>30</v>
      </c>
      <c r="E19" s="1">
        <v>46126</v>
      </c>
      <c r="F19">
        <v>313</v>
      </c>
      <c r="G19" t="s">
        <v>31</v>
      </c>
      <c r="H19">
        <v>300</v>
      </c>
      <c r="I19">
        <v>266</v>
      </c>
      <c r="J19">
        <v>2915897.65</v>
      </c>
      <c r="K19">
        <v>307608.99</v>
      </c>
      <c r="L19">
        <f t="shared" si="0"/>
        <v>2608288.66</v>
      </c>
      <c r="M19" t="str">
        <f t="shared" si="1"/>
        <v>2026-04</v>
      </c>
      <c r="N19">
        <f t="shared" si="2"/>
        <v>0.88666666666666671</v>
      </c>
    </row>
    <row r="20" spans="1:14">
      <c r="A20" t="s">
        <v>76</v>
      </c>
      <c r="B20" t="s">
        <v>77</v>
      </c>
      <c r="C20" t="s">
        <v>45</v>
      </c>
      <c r="D20" t="s">
        <v>29</v>
      </c>
      <c r="E20" s="1">
        <v>46311</v>
      </c>
      <c r="F20">
        <v>457</v>
      </c>
      <c r="G20" t="s">
        <v>41</v>
      </c>
      <c r="H20">
        <v>300</v>
      </c>
      <c r="I20">
        <v>197</v>
      </c>
      <c r="J20">
        <v>1457332.21</v>
      </c>
      <c r="K20">
        <v>616560.15</v>
      </c>
      <c r="L20">
        <f t="shared" si="0"/>
        <v>840772.05999999994</v>
      </c>
      <c r="M20" t="str">
        <f t="shared" si="1"/>
        <v>2026-10</v>
      </c>
      <c r="N20">
        <f t="shared" si="2"/>
        <v>0.65666666666666662</v>
      </c>
    </row>
    <row r="21" spans="1:14">
      <c r="A21" t="s">
        <v>78</v>
      </c>
      <c r="B21" t="s">
        <v>79</v>
      </c>
      <c r="C21" t="s">
        <v>52</v>
      </c>
      <c r="D21" t="s">
        <v>45</v>
      </c>
      <c r="E21" s="1">
        <v>46044</v>
      </c>
      <c r="F21">
        <v>97</v>
      </c>
      <c r="G21" t="s">
        <v>46</v>
      </c>
      <c r="H21">
        <v>150</v>
      </c>
      <c r="I21">
        <v>100</v>
      </c>
      <c r="J21">
        <v>1370455.87</v>
      </c>
      <c r="K21">
        <v>166354.31</v>
      </c>
      <c r="L21">
        <f t="shared" si="0"/>
        <v>1204101.56</v>
      </c>
      <c r="M21" t="str">
        <f t="shared" si="1"/>
        <v>2026-01</v>
      </c>
      <c r="N21">
        <f t="shared" si="2"/>
        <v>0.66666666666666663</v>
      </c>
    </row>
    <row r="22" spans="1:14">
      <c r="A22" t="s">
        <v>80</v>
      </c>
      <c r="B22" t="s">
        <v>81</v>
      </c>
      <c r="C22" t="s">
        <v>34</v>
      </c>
      <c r="D22" t="s">
        <v>69</v>
      </c>
      <c r="E22" s="1">
        <v>46169</v>
      </c>
      <c r="F22">
        <v>575</v>
      </c>
      <c r="G22" t="s">
        <v>31</v>
      </c>
      <c r="H22">
        <v>300</v>
      </c>
      <c r="I22">
        <v>98</v>
      </c>
      <c r="J22">
        <v>345278.04</v>
      </c>
      <c r="K22">
        <v>837806.58</v>
      </c>
      <c r="L22">
        <f t="shared" si="0"/>
        <v>-492528.54</v>
      </c>
      <c r="M22" t="str">
        <f t="shared" si="1"/>
        <v>2026-05</v>
      </c>
      <c r="N22">
        <f t="shared" si="2"/>
        <v>0.32666666666666666</v>
      </c>
    </row>
    <row r="23" spans="1:14">
      <c r="A23" t="s">
        <v>82</v>
      </c>
      <c r="B23" t="s">
        <v>83</v>
      </c>
      <c r="C23" t="s">
        <v>30</v>
      </c>
      <c r="D23" t="s">
        <v>40</v>
      </c>
      <c r="E23" s="1">
        <v>46203</v>
      </c>
      <c r="F23">
        <v>158</v>
      </c>
      <c r="G23" t="s">
        <v>35</v>
      </c>
      <c r="H23">
        <v>150</v>
      </c>
      <c r="I23">
        <v>112</v>
      </c>
      <c r="J23">
        <v>746856.79</v>
      </c>
      <c r="K23">
        <v>175114.76</v>
      </c>
      <c r="L23">
        <f t="shared" si="0"/>
        <v>571742.03</v>
      </c>
      <c r="M23" t="str">
        <f t="shared" si="1"/>
        <v>2026-06</v>
      </c>
      <c r="N23">
        <f t="shared" si="2"/>
        <v>0.7466666666666667</v>
      </c>
    </row>
    <row r="24" spans="1:14">
      <c r="A24" t="s">
        <v>84</v>
      </c>
      <c r="B24" t="s">
        <v>57</v>
      </c>
      <c r="C24" t="s">
        <v>52</v>
      </c>
      <c r="D24" t="s">
        <v>49</v>
      </c>
      <c r="E24" s="1">
        <v>46196</v>
      </c>
      <c r="F24">
        <v>347</v>
      </c>
      <c r="G24" t="s">
        <v>31</v>
      </c>
      <c r="H24">
        <v>180</v>
      </c>
      <c r="I24">
        <v>176</v>
      </c>
      <c r="J24">
        <v>1622712.23</v>
      </c>
      <c r="K24">
        <v>476613.92</v>
      </c>
      <c r="L24">
        <f t="shared" si="0"/>
        <v>1146098.31</v>
      </c>
      <c r="M24" t="str">
        <f t="shared" si="1"/>
        <v>2026-06</v>
      </c>
      <c r="N24">
        <f t="shared" si="2"/>
        <v>0.97777777777777775</v>
      </c>
    </row>
    <row r="25" spans="1:14">
      <c r="A25" t="s">
        <v>85</v>
      </c>
      <c r="B25" t="s">
        <v>86</v>
      </c>
      <c r="C25" t="s">
        <v>45</v>
      </c>
      <c r="D25" t="s">
        <v>49</v>
      </c>
      <c r="E25" s="1">
        <v>46035</v>
      </c>
      <c r="F25">
        <v>565</v>
      </c>
      <c r="G25" t="s">
        <v>31</v>
      </c>
      <c r="H25">
        <v>150</v>
      </c>
      <c r="I25">
        <v>85</v>
      </c>
      <c r="J25">
        <v>1069261.08</v>
      </c>
      <c r="K25">
        <v>614560.73</v>
      </c>
      <c r="L25">
        <f t="shared" si="0"/>
        <v>454700.35000000009</v>
      </c>
      <c r="M25" t="str">
        <f t="shared" si="1"/>
        <v>2026-01</v>
      </c>
      <c r="N25">
        <f t="shared" si="2"/>
        <v>0.56666666666666665</v>
      </c>
    </row>
    <row r="26" spans="1:14">
      <c r="A26" t="s">
        <v>87</v>
      </c>
      <c r="B26" t="s">
        <v>88</v>
      </c>
      <c r="C26" t="s">
        <v>55</v>
      </c>
      <c r="D26" t="s">
        <v>44</v>
      </c>
      <c r="E26" s="1">
        <v>46073</v>
      </c>
      <c r="F26">
        <v>249</v>
      </c>
      <c r="G26" t="s">
        <v>41</v>
      </c>
      <c r="H26">
        <v>180</v>
      </c>
      <c r="I26">
        <v>107</v>
      </c>
      <c r="J26">
        <v>1425759.53</v>
      </c>
      <c r="K26">
        <v>258118.81</v>
      </c>
      <c r="L26">
        <f t="shared" si="0"/>
        <v>1167640.72</v>
      </c>
      <c r="M26" t="str">
        <f t="shared" si="1"/>
        <v>2026-02</v>
      </c>
      <c r="N26">
        <f t="shared" si="2"/>
        <v>0.59444444444444444</v>
      </c>
    </row>
    <row r="27" spans="1:14">
      <c r="A27" t="s">
        <v>89</v>
      </c>
      <c r="B27" t="s">
        <v>90</v>
      </c>
      <c r="C27" t="s">
        <v>40</v>
      </c>
      <c r="D27" t="s">
        <v>30</v>
      </c>
      <c r="E27" s="1">
        <v>46075</v>
      </c>
      <c r="F27">
        <v>64</v>
      </c>
      <c r="G27" t="s">
        <v>31</v>
      </c>
      <c r="H27">
        <v>300</v>
      </c>
      <c r="I27">
        <v>55</v>
      </c>
      <c r="J27">
        <v>199109.94</v>
      </c>
      <c r="K27">
        <v>205804.69</v>
      </c>
      <c r="L27">
        <f t="shared" si="0"/>
        <v>-6694.75</v>
      </c>
      <c r="M27" t="str">
        <f t="shared" si="1"/>
        <v>2026-02</v>
      </c>
      <c r="N27">
        <f t="shared" si="2"/>
        <v>0.18333333333333332</v>
      </c>
    </row>
    <row r="28" spans="1:14">
      <c r="A28" t="s">
        <v>91</v>
      </c>
      <c r="B28" t="s">
        <v>92</v>
      </c>
      <c r="C28" t="s">
        <v>44</v>
      </c>
      <c r="D28" t="s">
        <v>69</v>
      </c>
      <c r="E28" s="1">
        <v>46169</v>
      </c>
      <c r="F28">
        <v>179</v>
      </c>
      <c r="G28" t="s">
        <v>31</v>
      </c>
      <c r="H28">
        <v>250</v>
      </c>
      <c r="I28">
        <v>141</v>
      </c>
      <c r="J28">
        <v>1681920.15</v>
      </c>
      <c r="K28">
        <v>245932.82</v>
      </c>
      <c r="L28">
        <f t="shared" si="0"/>
        <v>1435987.3299999998</v>
      </c>
      <c r="M28" t="str">
        <f t="shared" si="1"/>
        <v>2026-05</v>
      </c>
      <c r="N28">
        <f t="shared" si="2"/>
        <v>0.56399999999999995</v>
      </c>
    </row>
    <row r="29" spans="1:14">
      <c r="A29" t="s">
        <v>93</v>
      </c>
      <c r="B29" t="s">
        <v>94</v>
      </c>
      <c r="C29" t="s">
        <v>34</v>
      </c>
      <c r="D29" t="s">
        <v>30</v>
      </c>
      <c r="E29" s="1">
        <v>46144</v>
      </c>
      <c r="F29">
        <v>572</v>
      </c>
      <c r="G29" t="s">
        <v>31</v>
      </c>
      <c r="H29">
        <v>180</v>
      </c>
      <c r="I29">
        <v>145</v>
      </c>
      <c r="J29">
        <v>1390654.4</v>
      </c>
      <c r="K29">
        <v>662124.21</v>
      </c>
      <c r="L29">
        <f t="shared" si="0"/>
        <v>728530.19</v>
      </c>
      <c r="M29" t="str">
        <f t="shared" si="1"/>
        <v>2026-05</v>
      </c>
      <c r="N29">
        <f t="shared" si="2"/>
        <v>0.80555555555555558</v>
      </c>
    </row>
    <row r="30" spans="1:14">
      <c r="A30" t="s">
        <v>95</v>
      </c>
      <c r="B30" t="s">
        <v>96</v>
      </c>
      <c r="C30" t="s">
        <v>69</v>
      </c>
      <c r="D30" t="s">
        <v>30</v>
      </c>
      <c r="E30" s="1">
        <v>46176</v>
      </c>
      <c r="F30">
        <v>494</v>
      </c>
      <c r="G30" t="s">
        <v>41</v>
      </c>
      <c r="H30">
        <v>180</v>
      </c>
      <c r="I30">
        <v>78</v>
      </c>
      <c r="J30">
        <v>342643.99</v>
      </c>
      <c r="K30">
        <v>352907.71</v>
      </c>
      <c r="L30">
        <f t="shared" si="0"/>
        <v>-10263.72000000003</v>
      </c>
      <c r="M30" t="str">
        <f t="shared" si="1"/>
        <v>2026-06</v>
      </c>
      <c r="N30">
        <f t="shared" si="2"/>
        <v>0.43333333333333335</v>
      </c>
    </row>
    <row r="31" spans="1:14">
      <c r="A31" t="s">
        <v>97</v>
      </c>
      <c r="B31" t="s">
        <v>98</v>
      </c>
      <c r="C31" t="s">
        <v>40</v>
      </c>
      <c r="D31" t="s">
        <v>34</v>
      </c>
      <c r="E31" s="1">
        <v>46122</v>
      </c>
      <c r="F31">
        <v>348</v>
      </c>
      <c r="G31" t="s">
        <v>46</v>
      </c>
      <c r="H31">
        <v>180</v>
      </c>
      <c r="I31">
        <v>150</v>
      </c>
      <c r="J31">
        <v>1167308.52</v>
      </c>
      <c r="K31">
        <v>414021.08</v>
      </c>
      <c r="L31">
        <f t="shared" si="0"/>
        <v>753287.44</v>
      </c>
      <c r="M31" t="str">
        <f t="shared" si="1"/>
        <v>2026-04</v>
      </c>
      <c r="N31">
        <f t="shared" si="2"/>
        <v>0.83333333333333337</v>
      </c>
    </row>
    <row r="32" spans="1:14">
      <c r="A32" t="s">
        <v>99</v>
      </c>
      <c r="B32" t="s">
        <v>43</v>
      </c>
      <c r="C32" t="s">
        <v>44</v>
      </c>
      <c r="D32" t="s">
        <v>45</v>
      </c>
      <c r="E32" s="1">
        <v>46279</v>
      </c>
      <c r="F32">
        <v>384</v>
      </c>
      <c r="G32" t="s">
        <v>41</v>
      </c>
      <c r="H32">
        <v>300</v>
      </c>
      <c r="I32">
        <v>65</v>
      </c>
      <c r="J32">
        <v>250043.62</v>
      </c>
      <c r="K32">
        <v>514682.3</v>
      </c>
      <c r="L32">
        <f t="shared" si="0"/>
        <v>-264638.68</v>
      </c>
      <c r="M32" t="str">
        <f t="shared" si="1"/>
        <v>2026-09</v>
      </c>
      <c r="N32">
        <f t="shared" si="2"/>
        <v>0.21666666666666667</v>
      </c>
    </row>
    <row r="33" spans="1:14">
      <c r="A33" t="s">
        <v>100</v>
      </c>
      <c r="B33" t="s">
        <v>54</v>
      </c>
      <c r="C33" t="s">
        <v>52</v>
      </c>
      <c r="D33" t="s">
        <v>55</v>
      </c>
      <c r="E33" s="1">
        <v>46201</v>
      </c>
      <c r="F33">
        <v>486</v>
      </c>
      <c r="G33" t="s">
        <v>41</v>
      </c>
      <c r="H33">
        <v>300</v>
      </c>
      <c r="I33">
        <v>116</v>
      </c>
      <c r="J33">
        <v>1490034.17</v>
      </c>
      <c r="K33">
        <v>614635.12</v>
      </c>
      <c r="L33">
        <f t="shared" si="0"/>
        <v>875399.04999999993</v>
      </c>
      <c r="M33" t="str">
        <f t="shared" si="1"/>
        <v>2026-06</v>
      </c>
      <c r="N33">
        <f t="shared" si="2"/>
        <v>0.38666666666666666</v>
      </c>
    </row>
    <row r="34" spans="1:14">
      <c r="A34" t="s">
        <v>101</v>
      </c>
      <c r="B34" t="s">
        <v>102</v>
      </c>
      <c r="C34" t="s">
        <v>45</v>
      </c>
      <c r="D34" t="s">
        <v>55</v>
      </c>
      <c r="E34" s="1">
        <v>46112</v>
      </c>
      <c r="F34">
        <v>477</v>
      </c>
      <c r="G34" t="s">
        <v>31</v>
      </c>
      <c r="H34">
        <v>150</v>
      </c>
      <c r="I34">
        <v>56</v>
      </c>
      <c r="J34">
        <v>247406.76</v>
      </c>
      <c r="K34">
        <v>546140.54</v>
      </c>
      <c r="L34">
        <f t="shared" si="0"/>
        <v>-298733.78000000003</v>
      </c>
      <c r="M34" t="str">
        <f t="shared" si="1"/>
        <v>2026-03</v>
      </c>
      <c r="N34">
        <f t="shared" si="2"/>
        <v>0.37333333333333335</v>
      </c>
    </row>
    <row r="35" spans="1:14">
      <c r="A35" t="s">
        <v>103</v>
      </c>
      <c r="B35" t="s">
        <v>104</v>
      </c>
      <c r="C35" t="s">
        <v>34</v>
      </c>
      <c r="D35" t="s">
        <v>52</v>
      </c>
      <c r="E35" s="1">
        <v>46214</v>
      </c>
      <c r="F35">
        <v>158</v>
      </c>
      <c r="G35" t="s">
        <v>35</v>
      </c>
      <c r="H35">
        <v>300</v>
      </c>
      <c r="I35">
        <v>259</v>
      </c>
      <c r="J35">
        <v>1554051.12</v>
      </c>
      <c r="K35">
        <v>293208.17</v>
      </c>
      <c r="L35">
        <f t="shared" si="0"/>
        <v>1260842.9500000002</v>
      </c>
      <c r="M35" t="str">
        <f t="shared" si="1"/>
        <v>2026-07</v>
      </c>
      <c r="N35">
        <f t="shared" si="2"/>
        <v>0.86333333333333329</v>
      </c>
    </row>
    <row r="36" spans="1:14">
      <c r="A36" t="s">
        <v>105</v>
      </c>
      <c r="B36" t="s">
        <v>90</v>
      </c>
      <c r="C36" t="s">
        <v>40</v>
      </c>
      <c r="D36" t="s">
        <v>30</v>
      </c>
      <c r="E36" s="1">
        <v>46295</v>
      </c>
      <c r="F36">
        <v>121</v>
      </c>
      <c r="G36" t="s">
        <v>35</v>
      </c>
      <c r="H36">
        <v>300</v>
      </c>
      <c r="I36">
        <v>266</v>
      </c>
      <c r="J36">
        <v>1819598.33</v>
      </c>
      <c r="K36">
        <v>286350.82</v>
      </c>
      <c r="L36">
        <f t="shared" si="0"/>
        <v>1533247.51</v>
      </c>
      <c r="M36" t="str">
        <f t="shared" si="1"/>
        <v>2026-09</v>
      </c>
      <c r="N36">
        <f t="shared" si="2"/>
        <v>0.88666666666666671</v>
      </c>
    </row>
    <row r="37" spans="1:14">
      <c r="A37" t="s">
        <v>106</v>
      </c>
      <c r="B37" t="s">
        <v>107</v>
      </c>
      <c r="C37" t="s">
        <v>30</v>
      </c>
      <c r="D37" t="s">
        <v>45</v>
      </c>
      <c r="E37" s="1">
        <v>46306</v>
      </c>
      <c r="F37">
        <v>443</v>
      </c>
      <c r="G37" t="s">
        <v>35</v>
      </c>
      <c r="H37">
        <v>250</v>
      </c>
      <c r="I37">
        <v>160</v>
      </c>
      <c r="J37">
        <v>639906.06999999995</v>
      </c>
      <c r="K37">
        <v>374937.46</v>
      </c>
      <c r="L37">
        <f t="shared" si="0"/>
        <v>264968.60999999993</v>
      </c>
      <c r="M37" t="str">
        <f t="shared" si="1"/>
        <v>2026-10</v>
      </c>
      <c r="N37">
        <f t="shared" si="2"/>
        <v>0.64</v>
      </c>
    </row>
    <row r="38" spans="1:14">
      <c r="A38" t="s">
        <v>108</v>
      </c>
      <c r="B38" t="s">
        <v>109</v>
      </c>
      <c r="C38" t="s">
        <v>30</v>
      </c>
      <c r="D38" t="s">
        <v>52</v>
      </c>
      <c r="E38" s="1">
        <v>46131</v>
      </c>
      <c r="F38">
        <v>101</v>
      </c>
      <c r="G38" t="s">
        <v>46</v>
      </c>
      <c r="H38">
        <v>250</v>
      </c>
      <c r="I38">
        <v>191</v>
      </c>
      <c r="J38">
        <v>1832520.2</v>
      </c>
      <c r="K38">
        <v>206716.21</v>
      </c>
      <c r="L38">
        <f t="shared" si="0"/>
        <v>1625803.99</v>
      </c>
      <c r="M38" t="str">
        <f t="shared" si="1"/>
        <v>2026-04</v>
      </c>
      <c r="N38">
        <f t="shared" si="2"/>
        <v>0.76400000000000001</v>
      </c>
    </row>
    <row r="39" spans="1:14">
      <c r="A39" t="s">
        <v>110</v>
      </c>
      <c r="B39" t="s">
        <v>98</v>
      </c>
      <c r="C39" t="s">
        <v>40</v>
      </c>
      <c r="D39" t="s">
        <v>34</v>
      </c>
      <c r="E39" s="1">
        <v>46252</v>
      </c>
      <c r="F39">
        <v>578</v>
      </c>
      <c r="G39" t="s">
        <v>46</v>
      </c>
      <c r="H39">
        <v>150</v>
      </c>
      <c r="I39">
        <v>89</v>
      </c>
      <c r="J39">
        <v>344710.89</v>
      </c>
      <c r="K39">
        <v>696524.58</v>
      </c>
      <c r="L39">
        <f t="shared" si="0"/>
        <v>-351813.68999999994</v>
      </c>
      <c r="M39" t="str">
        <f t="shared" si="1"/>
        <v>2026-08</v>
      </c>
      <c r="N39">
        <f t="shared" si="2"/>
        <v>0.59333333333333338</v>
      </c>
    </row>
    <row r="40" spans="1:14">
      <c r="A40" t="s">
        <v>111</v>
      </c>
      <c r="B40" t="s">
        <v>73</v>
      </c>
      <c r="C40" t="s">
        <v>29</v>
      </c>
      <c r="D40" t="s">
        <v>52</v>
      </c>
      <c r="E40" s="1">
        <v>46167</v>
      </c>
      <c r="F40">
        <v>570</v>
      </c>
      <c r="G40" t="s">
        <v>31</v>
      </c>
      <c r="H40">
        <v>150</v>
      </c>
      <c r="I40">
        <v>94</v>
      </c>
      <c r="J40">
        <v>1131810.5900000001</v>
      </c>
      <c r="K40">
        <v>510127.57</v>
      </c>
      <c r="L40">
        <f t="shared" si="0"/>
        <v>621683.02</v>
      </c>
      <c r="M40" t="str">
        <f t="shared" si="1"/>
        <v>2026-05</v>
      </c>
      <c r="N40">
        <f t="shared" si="2"/>
        <v>0.62666666666666671</v>
      </c>
    </row>
    <row r="41" spans="1:14">
      <c r="A41" t="s">
        <v>112</v>
      </c>
      <c r="B41" t="s">
        <v>113</v>
      </c>
      <c r="C41" t="s">
        <v>44</v>
      </c>
      <c r="D41" t="s">
        <v>55</v>
      </c>
      <c r="E41" s="1">
        <v>46195</v>
      </c>
      <c r="F41">
        <v>279</v>
      </c>
      <c r="G41" t="s">
        <v>46</v>
      </c>
      <c r="H41">
        <v>180</v>
      </c>
      <c r="I41">
        <v>110</v>
      </c>
      <c r="J41">
        <v>1416083.26</v>
      </c>
      <c r="K41">
        <v>374844.54</v>
      </c>
      <c r="L41">
        <f t="shared" si="0"/>
        <v>1041238.72</v>
      </c>
      <c r="M41" t="str">
        <f t="shared" si="1"/>
        <v>2026-06</v>
      </c>
      <c r="N41">
        <f t="shared" si="2"/>
        <v>0.61111111111111116</v>
      </c>
    </row>
    <row r="42" spans="1:14">
      <c r="A42" t="s">
        <v>114</v>
      </c>
      <c r="B42" t="s">
        <v>96</v>
      </c>
      <c r="C42" t="s">
        <v>69</v>
      </c>
      <c r="D42" t="s">
        <v>30</v>
      </c>
      <c r="E42" s="1">
        <v>46139</v>
      </c>
      <c r="F42">
        <v>193</v>
      </c>
      <c r="G42" t="s">
        <v>46</v>
      </c>
      <c r="H42">
        <v>300</v>
      </c>
      <c r="I42">
        <v>222</v>
      </c>
      <c r="J42">
        <v>3249757.19</v>
      </c>
      <c r="K42">
        <v>252330.9</v>
      </c>
      <c r="L42">
        <f t="shared" si="0"/>
        <v>2997426.29</v>
      </c>
      <c r="M42" t="str">
        <f t="shared" si="1"/>
        <v>2026-04</v>
      </c>
      <c r="N42">
        <f t="shared" si="2"/>
        <v>0.74</v>
      </c>
    </row>
    <row r="43" spans="1:14">
      <c r="A43" t="s">
        <v>115</v>
      </c>
      <c r="B43" t="s">
        <v>116</v>
      </c>
      <c r="C43" t="s">
        <v>30</v>
      </c>
      <c r="D43" t="s">
        <v>44</v>
      </c>
      <c r="E43" s="1">
        <v>46042</v>
      </c>
      <c r="F43">
        <v>500</v>
      </c>
      <c r="G43" t="s">
        <v>46</v>
      </c>
      <c r="H43">
        <v>250</v>
      </c>
      <c r="I43">
        <v>98</v>
      </c>
      <c r="J43">
        <v>1112200.46</v>
      </c>
      <c r="K43">
        <v>534089.37</v>
      </c>
      <c r="L43">
        <f t="shared" si="0"/>
        <v>578111.09</v>
      </c>
      <c r="M43" t="str">
        <f t="shared" si="1"/>
        <v>2026-01</v>
      </c>
      <c r="N43">
        <f t="shared" si="2"/>
        <v>0.39200000000000002</v>
      </c>
    </row>
    <row r="44" spans="1:14">
      <c r="A44" t="s">
        <v>117</v>
      </c>
      <c r="B44" t="s">
        <v>118</v>
      </c>
      <c r="C44" t="s">
        <v>40</v>
      </c>
      <c r="D44" t="s">
        <v>69</v>
      </c>
      <c r="E44" s="1">
        <v>46294</v>
      </c>
      <c r="F44">
        <v>417</v>
      </c>
      <c r="G44" t="s">
        <v>35</v>
      </c>
      <c r="H44">
        <v>300</v>
      </c>
      <c r="I44">
        <v>205</v>
      </c>
      <c r="J44">
        <v>1440723.76</v>
      </c>
      <c r="K44">
        <v>408029.56</v>
      </c>
      <c r="L44">
        <f t="shared" si="0"/>
        <v>1032694.2</v>
      </c>
      <c r="M44" t="str">
        <f t="shared" si="1"/>
        <v>2026-09</v>
      </c>
      <c r="N44">
        <f t="shared" si="2"/>
        <v>0.68333333333333335</v>
      </c>
    </row>
    <row r="45" spans="1:14">
      <c r="A45" t="s">
        <v>119</v>
      </c>
      <c r="B45" t="s">
        <v>120</v>
      </c>
      <c r="C45" t="s">
        <v>52</v>
      </c>
      <c r="D45" t="s">
        <v>34</v>
      </c>
      <c r="E45" s="1">
        <v>46250</v>
      </c>
      <c r="F45">
        <v>561</v>
      </c>
      <c r="G45" t="s">
        <v>31</v>
      </c>
      <c r="H45">
        <v>150</v>
      </c>
      <c r="I45">
        <v>122</v>
      </c>
      <c r="J45">
        <v>819148.43</v>
      </c>
      <c r="K45">
        <v>675077.3</v>
      </c>
      <c r="L45">
        <f t="shared" si="0"/>
        <v>144071.13</v>
      </c>
      <c r="M45" t="str">
        <f t="shared" si="1"/>
        <v>2026-08</v>
      </c>
      <c r="N45">
        <f t="shared" si="2"/>
        <v>0.81333333333333335</v>
      </c>
    </row>
    <row r="46" spans="1:14">
      <c r="A46" t="s">
        <v>121</v>
      </c>
      <c r="B46" t="s">
        <v>122</v>
      </c>
      <c r="C46" t="s">
        <v>29</v>
      </c>
      <c r="D46" t="s">
        <v>45</v>
      </c>
      <c r="E46" s="1">
        <v>46308</v>
      </c>
      <c r="F46">
        <v>301</v>
      </c>
      <c r="G46" t="s">
        <v>31</v>
      </c>
      <c r="H46">
        <v>150</v>
      </c>
      <c r="I46">
        <v>54</v>
      </c>
      <c r="J46">
        <v>179085.8</v>
      </c>
      <c r="K46">
        <v>304820.83</v>
      </c>
      <c r="L46">
        <f t="shared" si="0"/>
        <v>-125735.03000000003</v>
      </c>
      <c r="M46" t="str">
        <f t="shared" si="1"/>
        <v>2026-10</v>
      </c>
      <c r="N46">
        <f t="shared" si="2"/>
        <v>0.36</v>
      </c>
    </row>
    <row r="47" spans="1:14">
      <c r="A47" t="s">
        <v>123</v>
      </c>
      <c r="B47" t="s">
        <v>124</v>
      </c>
      <c r="C47" t="s">
        <v>55</v>
      </c>
      <c r="D47" t="s">
        <v>49</v>
      </c>
      <c r="E47" s="1">
        <v>46239</v>
      </c>
      <c r="F47">
        <v>520</v>
      </c>
      <c r="G47" t="s">
        <v>41</v>
      </c>
      <c r="H47">
        <v>180</v>
      </c>
      <c r="I47">
        <v>154</v>
      </c>
      <c r="J47">
        <v>1228586.44</v>
      </c>
      <c r="K47">
        <v>449520.17</v>
      </c>
      <c r="L47">
        <f t="shared" si="0"/>
        <v>779066.27</v>
      </c>
      <c r="M47" t="str">
        <f t="shared" si="1"/>
        <v>2026-08</v>
      </c>
      <c r="N47">
        <f t="shared" si="2"/>
        <v>0.85555555555555551</v>
      </c>
    </row>
    <row r="48" spans="1:14">
      <c r="A48" t="s">
        <v>125</v>
      </c>
      <c r="B48" t="s">
        <v>118</v>
      </c>
      <c r="C48" t="s">
        <v>40</v>
      </c>
      <c r="D48" t="s">
        <v>69</v>
      </c>
      <c r="E48" s="1">
        <v>46045</v>
      </c>
      <c r="F48">
        <v>517</v>
      </c>
      <c r="G48" t="s">
        <v>31</v>
      </c>
      <c r="H48">
        <v>150</v>
      </c>
      <c r="I48">
        <v>134</v>
      </c>
      <c r="J48">
        <v>1126474.97</v>
      </c>
      <c r="K48">
        <v>380242.79</v>
      </c>
      <c r="L48">
        <f t="shared" si="0"/>
        <v>746232.17999999993</v>
      </c>
      <c r="M48" t="str">
        <f t="shared" si="1"/>
        <v>2026-01</v>
      </c>
      <c r="N48">
        <f t="shared" si="2"/>
        <v>0.89333333333333331</v>
      </c>
    </row>
    <row r="49" spans="1:14">
      <c r="A49" t="s">
        <v>126</v>
      </c>
      <c r="B49" t="s">
        <v>127</v>
      </c>
      <c r="C49" t="s">
        <v>40</v>
      </c>
      <c r="D49" t="s">
        <v>55</v>
      </c>
      <c r="E49" s="1">
        <v>46061</v>
      </c>
      <c r="F49">
        <v>213</v>
      </c>
      <c r="G49" t="s">
        <v>46</v>
      </c>
      <c r="H49">
        <v>180</v>
      </c>
      <c r="I49">
        <v>167</v>
      </c>
      <c r="J49">
        <v>2167068.4700000002</v>
      </c>
      <c r="K49">
        <v>242389.59</v>
      </c>
      <c r="L49">
        <f t="shared" si="0"/>
        <v>1924678.8800000001</v>
      </c>
      <c r="M49" t="str">
        <f t="shared" si="1"/>
        <v>2026-02</v>
      </c>
      <c r="N49">
        <f t="shared" si="2"/>
        <v>0.92777777777777781</v>
      </c>
    </row>
    <row r="50" spans="1:14">
      <c r="A50" t="s">
        <v>128</v>
      </c>
      <c r="B50" t="s">
        <v>129</v>
      </c>
      <c r="C50" t="s">
        <v>45</v>
      </c>
      <c r="D50" t="s">
        <v>30</v>
      </c>
      <c r="E50" s="1">
        <v>46277</v>
      </c>
      <c r="F50">
        <v>362</v>
      </c>
      <c r="G50" t="s">
        <v>31</v>
      </c>
      <c r="H50">
        <v>250</v>
      </c>
      <c r="I50">
        <v>134</v>
      </c>
      <c r="J50">
        <v>1430093.06</v>
      </c>
      <c r="K50">
        <v>509998.32</v>
      </c>
      <c r="L50">
        <f t="shared" si="0"/>
        <v>920094.74</v>
      </c>
      <c r="M50" t="str">
        <f t="shared" si="1"/>
        <v>2026-09</v>
      </c>
      <c r="N50">
        <f t="shared" si="2"/>
        <v>0.53600000000000003</v>
      </c>
    </row>
    <row r="51" spans="1:14">
      <c r="A51" t="s">
        <v>130</v>
      </c>
      <c r="B51" t="s">
        <v>60</v>
      </c>
      <c r="C51" t="s">
        <v>44</v>
      </c>
      <c r="D51" t="s">
        <v>34</v>
      </c>
      <c r="E51" s="1">
        <v>46271</v>
      </c>
      <c r="F51">
        <v>225</v>
      </c>
      <c r="G51" t="s">
        <v>41</v>
      </c>
      <c r="H51">
        <v>300</v>
      </c>
      <c r="I51">
        <v>128</v>
      </c>
      <c r="J51">
        <v>993089.71</v>
      </c>
      <c r="K51">
        <v>360478.66</v>
      </c>
      <c r="L51">
        <f t="shared" si="0"/>
        <v>632611.05000000005</v>
      </c>
      <c r="M51" t="str">
        <f t="shared" si="1"/>
        <v>2026-09</v>
      </c>
      <c r="N51">
        <f t="shared" si="2"/>
        <v>0.42666666666666669</v>
      </c>
    </row>
    <row r="52" spans="1:14">
      <c r="A52" t="s">
        <v>131</v>
      </c>
      <c r="B52" t="s">
        <v>68</v>
      </c>
      <c r="C52" t="s">
        <v>69</v>
      </c>
      <c r="D52" t="s">
        <v>45</v>
      </c>
      <c r="E52" s="1">
        <v>46295</v>
      </c>
      <c r="F52">
        <v>567</v>
      </c>
      <c r="G52" t="s">
        <v>35</v>
      </c>
      <c r="H52">
        <v>300</v>
      </c>
      <c r="I52">
        <v>118</v>
      </c>
      <c r="J52">
        <v>1741726.13</v>
      </c>
      <c r="K52">
        <v>629020.12</v>
      </c>
      <c r="L52">
        <f t="shared" si="0"/>
        <v>1112706.0099999998</v>
      </c>
      <c r="M52" t="str">
        <f t="shared" si="1"/>
        <v>2026-09</v>
      </c>
      <c r="N52">
        <f t="shared" si="2"/>
        <v>0.39333333333333331</v>
      </c>
    </row>
    <row r="53" spans="1:14">
      <c r="A53" t="s">
        <v>132</v>
      </c>
      <c r="B53" t="s">
        <v>109</v>
      </c>
      <c r="C53" t="s">
        <v>30</v>
      </c>
      <c r="D53" t="s">
        <v>52</v>
      </c>
      <c r="E53" s="1">
        <v>46217</v>
      </c>
      <c r="F53">
        <v>152</v>
      </c>
      <c r="G53" t="s">
        <v>35</v>
      </c>
      <c r="H53">
        <v>180</v>
      </c>
      <c r="I53">
        <v>110</v>
      </c>
      <c r="J53">
        <v>583821.5</v>
      </c>
      <c r="K53">
        <v>170348.42</v>
      </c>
      <c r="L53">
        <f t="shared" si="0"/>
        <v>413473.07999999996</v>
      </c>
      <c r="M53" t="str">
        <f t="shared" si="1"/>
        <v>2026-07</v>
      </c>
      <c r="N53">
        <f t="shared" si="2"/>
        <v>0.61111111111111116</v>
      </c>
    </row>
    <row r="54" spans="1:14">
      <c r="A54" t="s">
        <v>133</v>
      </c>
      <c r="B54" t="s">
        <v>98</v>
      </c>
      <c r="C54" t="s">
        <v>40</v>
      </c>
      <c r="D54" t="s">
        <v>34</v>
      </c>
      <c r="E54" s="1">
        <v>46255</v>
      </c>
      <c r="F54">
        <v>583</v>
      </c>
      <c r="G54" t="s">
        <v>46</v>
      </c>
      <c r="H54">
        <v>180</v>
      </c>
      <c r="I54">
        <v>83</v>
      </c>
      <c r="J54">
        <v>377233.4</v>
      </c>
      <c r="K54">
        <v>516213.61</v>
      </c>
      <c r="L54">
        <f t="shared" si="0"/>
        <v>-138980.20999999996</v>
      </c>
      <c r="M54" t="str">
        <f t="shared" si="1"/>
        <v>2026-08</v>
      </c>
      <c r="N54">
        <f t="shared" si="2"/>
        <v>0.46111111111111114</v>
      </c>
    </row>
    <row r="55" spans="1:14">
      <c r="A55" t="s">
        <v>134</v>
      </c>
      <c r="B55" t="s">
        <v>135</v>
      </c>
      <c r="C55" t="s">
        <v>30</v>
      </c>
      <c r="D55" t="s">
        <v>49</v>
      </c>
      <c r="E55" s="1">
        <v>46048</v>
      </c>
      <c r="F55">
        <v>316</v>
      </c>
      <c r="G55" t="s">
        <v>35</v>
      </c>
      <c r="H55">
        <v>150</v>
      </c>
      <c r="I55">
        <v>148</v>
      </c>
      <c r="J55">
        <v>771709.33</v>
      </c>
      <c r="K55">
        <v>279308.07</v>
      </c>
      <c r="L55">
        <f t="shared" si="0"/>
        <v>492401.25999999995</v>
      </c>
      <c r="M55" t="str">
        <f t="shared" si="1"/>
        <v>2026-01</v>
      </c>
      <c r="N55">
        <f t="shared" si="2"/>
        <v>0.98666666666666669</v>
      </c>
    </row>
    <row r="56" spans="1:14">
      <c r="A56" t="s">
        <v>136</v>
      </c>
      <c r="B56" t="s">
        <v>137</v>
      </c>
      <c r="C56" t="s">
        <v>69</v>
      </c>
      <c r="D56" t="s">
        <v>34</v>
      </c>
      <c r="E56" s="1">
        <v>46209</v>
      </c>
      <c r="F56">
        <v>371</v>
      </c>
      <c r="G56" t="s">
        <v>31</v>
      </c>
      <c r="H56">
        <v>250</v>
      </c>
      <c r="I56">
        <v>52</v>
      </c>
      <c r="J56">
        <v>714609.07</v>
      </c>
      <c r="K56">
        <v>443382.63</v>
      </c>
      <c r="L56">
        <f t="shared" si="0"/>
        <v>271226.43999999994</v>
      </c>
      <c r="M56" t="str">
        <f t="shared" si="1"/>
        <v>2026-07</v>
      </c>
      <c r="N56">
        <f t="shared" si="2"/>
        <v>0.20799999999999999</v>
      </c>
    </row>
    <row r="57" spans="1:14">
      <c r="A57" t="s">
        <v>138</v>
      </c>
      <c r="B57" t="s">
        <v>77</v>
      </c>
      <c r="C57" t="s">
        <v>45</v>
      </c>
      <c r="D57" t="s">
        <v>29</v>
      </c>
      <c r="E57" s="1">
        <v>46295</v>
      </c>
      <c r="F57">
        <v>290</v>
      </c>
      <c r="G57" t="s">
        <v>46</v>
      </c>
      <c r="H57">
        <v>180</v>
      </c>
      <c r="I57">
        <v>175</v>
      </c>
      <c r="J57">
        <v>776500.48</v>
      </c>
      <c r="K57">
        <v>415777.04</v>
      </c>
      <c r="L57">
        <f t="shared" si="0"/>
        <v>360723.44</v>
      </c>
      <c r="M57" t="str">
        <f t="shared" si="1"/>
        <v>2026-09</v>
      </c>
      <c r="N57">
        <f t="shared" si="2"/>
        <v>0.97222222222222221</v>
      </c>
    </row>
    <row r="58" spans="1:14">
      <c r="A58" t="s">
        <v>139</v>
      </c>
      <c r="B58" t="s">
        <v>62</v>
      </c>
      <c r="C58" t="s">
        <v>52</v>
      </c>
      <c r="D58" t="s">
        <v>40</v>
      </c>
      <c r="E58" s="1">
        <v>46250</v>
      </c>
      <c r="F58">
        <v>170</v>
      </c>
      <c r="G58" t="s">
        <v>46</v>
      </c>
      <c r="H58">
        <v>180</v>
      </c>
      <c r="I58">
        <v>160</v>
      </c>
      <c r="J58">
        <v>1911243.79</v>
      </c>
      <c r="K58">
        <v>226367.49</v>
      </c>
      <c r="L58">
        <f t="shared" si="0"/>
        <v>1684876.3</v>
      </c>
      <c r="M58" t="str">
        <f t="shared" si="1"/>
        <v>2026-08</v>
      </c>
      <c r="N58">
        <f t="shared" si="2"/>
        <v>0.88888888888888884</v>
      </c>
    </row>
    <row r="59" spans="1:14">
      <c r="A59" t="s">
        <v>140</v>
      </c>
      <c r="B59" t="s">
        <v>141</v>
      </c>
      <c r="C59" t="s">
        <v>69</v>
      </c>
      <c r="D59" t="s">
        <v>44</v>
      </c>
      <c r="E59" s="1">
        <v>46251</v>
      </c>
      <c r="F59">
        <v>436</v>
      </c>
      <c r="G59" t="s">
        <v>41</v>
      </c>
      <c r="H59">
        <v>150</v>
      </c>
      <c r="I59">
        <v>71</v>
      </c>
      <c r="J59">
        <v>404983.54</v>
      </c>
      <c r="K59">
        <v>404506.9</v>
      </c>
      <c r="L59">
        <f t="shared" si="0"/>
        <v>476.63999999995576</v>
      </c>
      <c r="M59" t="str">
        <f t="shared" si="1"/>
        <v>2026-08</v>
      </c>
      <c r="N59">
        <f t="shared" si="2"/>
        <v>0.47333333333333333</v>
      </c>
    </row>
    <row r="60" spans="1:14">
      <c r="A60" t="s">
        <v>142</v>
      </c>
      <c r="B60" t="s">
        <v>96</v>
      </c>
      <c r="C60" t="s">
        <v>69</v>
      </c>
      <c r="D60" t="s">
        <v>30</v>
      </c>
      <c r="E60" s="1">
        <v>46245</v>
      </c>
      <c r="F60">
        <v>65</v>
      </c>
      <c r="G60" t="s">
        <v>46</v>
      </c>
      <c r="H60">
        <v>300</v>
      </c>
      <c r="I60">
        <v>269</v>
      </c>
      <c r="J60">
        <v>3768353.04</v>
      </c>
      <c r="K60">
        <v>182741.15</v>
      </c>
      <c r="L60">
        <f t="shared" si="0"/>
        <v>3585611.89</v>
      </c>
      <c r="M60" t="str">
        <f t="shared" si="1"/>
        <v>2026-08</v>
      </c>
      <c r="N60">
        <f t="shared" si="2"/>
        <v>0.89666666666666661</v>
      </c>
    </row>
    <row r="61" spans="1:14">
      <c r="A61" t="s">
        <v>143</v>
      </c>
      <c r="B61" t="s">
        <v>144</v>
      </c>
      <c r="C61" t="s">
        <v>49</v>
      </c>
      <c r="D61" t="s">
        <v>55</v>
      </c>
      <c r="E61" s="1">
        <v>46048</v>
      </c>
      <c r="F61">
        <v>494</v>
      </c>
      <c r="G61" t="s">
        <v>41</v>
      </c>
      <c r="H61">
        <v>300</v>
      </c>
      <c r="I61">
        <v>182</v>
      </c>
      <c r="J61">
        <v>954503.55</v>
      </c>
      <c r="K61">
        <v>508928.28</v>
      </c>
      <c r="L61">
        <f t="shared" si="0"/>
        <v>445575.27</v>
      </c>
      <c r="M61" t="str">
        <f t="shared" si="1"/>
        <v>2026-01</v>
      </c>
      <c r="N61">
        <f t="shared" si="2"/>
        <v>0.60666666666666669</v>
      </c>
    </row>
    <row r="62" spans="1:14">
      <c r="A62" t="s">
        <v>145</v>
      </c>
      <c r="B62" t="s">
        <v>75</v>
      </c>
      <c r="C62" t="s">
        <v>55</v>
      </c>
      <c r="D62" t="s">
        <v>30</v>
      </c>
      <c r="E62" s="1">
        <v>46164</v>
      </c>
      <c r="F62">
        <v>379</v>
      </c>
      <c r="G62" t="s">
        <v>46</v>
      </c>
      <c r="H62">
        <v>150</v>
      </c>
      <c r="I62">
        <v>60</v>
      </c>
      <c r="J62">
        <v>851050.33</v>
      </c>
      <c r="K62">
        <v>349566.37</v>
      </c>
      <c r="L62">
        <f t="shared" si="0"/>
        <v>501483.95999999996</v>
      </c>
      <c r="M62" t="str">
        <f t="shared" si="1"/>
        <v>2026-05</v>
      </c>
      <c r="N62">
        <f t="shared" si="2"/>
        <v>0.4</v>
      </c>
    </row>
    <row r="63" spans="1:14">
      <c r="A63" t="s">
        <v>146</v>
      </c>
      <c r="B63" t="s">
        <v>147</v>
      </c>
      <c r="C63" t="s">
        <v>29</v>
      </c>
      <c r="D63" t="s">
        <v>49</v>
      </c>
      <c r="E63" s="1">
        <v>46035</v>
      </c>
      <c r="F63">
        <v>227</v>
      </c>
      <c r="G63" t="s">
        <v>46</v>
      </c>
      <c r="H63">
        <v>300</v>
      </c>
      <c r="I63">
        <v>114</v>
      </c>
      <c r="J63">
        <v>531912.29</v>
      </c>
      <c r="K63">
        <v>263930.76</v>
      </c>
      <c r="L63">
        <f t="shared" si="0"/>
        <v>267981.53000000003</v>
      </c>
      <c r="M63" t="str">
        <f t="shared" si="1"/>
        <v>2026-01</v>
      </c>
      <c r="N63">
        <f t="shared" si="2"/>
        <v>0.38</v>
      </c>
    </row>
    <row r="64" spans="1:14">
      <c r="A64" t="s">
        <v>148</v>
      </c>
      <c r="B64" t="s">
        <v>149</v>
      </c>
      <c r="C64" t="s">
        <v>49</v>
      </c>
      <c r="D64" t="s">
        <v>69</v>
      </c>
      <c r="E64" s="1">
        <v>46258</v>
      </c>
      <c r="F64">
        <v>393</v>
      </c>
      <c r="G64" t="s">
        <v>41</v>
      </c>
      <c r="H64">
        <v>300</v>
      </c>
      <c r="I64">
        <v>252</v>
      </c>
      <c r="J64">
        <v>3593541.54</v>
      </c>
      <c r="K64">
        <v>396357.22</v>
      </c>
      <c r="L64">
        <f t="shared" si="0"/>
        <v>3197184.3200000003</v>
      </c>
      <c r="M64" t="str">
        <f t="shared" si="1"/>
        <v>2026-08</v>
      </c>
      <c r="N64">
        <f t="shared" si="2"/>
        <v>0.84</v>
      </c>
    </row>
    <row r="65" spans="1:14">
      <c r="A65" t="s">
        <v>150</v>
      </c>
      <c r="B65" t="s">
        <v>37</v>
      </c>
      <c r="C65" t="s">
        <v>30</v>
      </c>
      <c r="D65" t="s">
        <v>29</v>
      </c>
      <c r="E65" s="1">
        <v>46251</v>
      </c>
      <c r="F65">
        <v>329</v>
      </c>
      <c r="G65" t="s">
        <v>35</v>
      </c>
      <c r="H65">
        <v>180</v>
      </c>
      <c r="I65">
        <v>84</v>
      </c>
      <c r="J65">
        <v>417579.92</v>
      </c>
      <c r="K65">
        <v>442096.56</v>
      </c>
      <c r="L65">
        <f t="shared" si="0"/>
        <v>-24516.640000000014</v>
      </c>
      <c r="M65" t="str">
        <f t="shared" si="1"/>
        <v>2026-08</v>
      </c>
      <c r="N65">
        <f t="shared" si="2"/>
        <v>0.46666666666666667</v>
      </c>
    </row>
    <row r="66" spans="1:14">
      <c r="A66" t="s">
        <v>151</v>
      </c>
      <c r="B66" t="s">
        <v>77</v>
      </c>
      <c r="C66" t="s">
        <v>45</v>
      </c>
      <c r="D66" t="s">
        <v>29</v>
      </c>
      <c r="E66" s="1">
        <v>46036</v>
      </c>
      <c r="F66">
        <v>481</v>
      </c>
      <c r="G66" t="s">
        <v>41</v>
      </c>
      <c r="H66">
        <v>250</v>
      </c>
      <c r="I66">
        <v>112</v>
      </c>
      <c r="J66">
        <v>1011656.2</v>
      </c>
      <c r="K66">
        <v>443686.01</v>
      </c>
      <c r="L66">
        <f t="shared" si="0"/>
        <v>567970.18999999994</v>
      </c>
      <c r="M66" t="str">
        <f t="shared" si="1"/>
        <v>2026-01</v>
      </c>
      <c r="N66">
        <f t="shared" si="2"/>
        <v>0.44800000000000001</v>
      </c>
    </row>
    <row r="67" spans="1:14">
      <c r="A67" t="s">
        <v>152</v>
      </c>
      <c r="B67" t="s">
        <v>153</v>
      </c>
      <c r="C67" t="s">
        <v>69</v>
      </c>
      <c r="D67" t="s">
        <v>40</v>
      </c>
      <c r="E67" s="1">
        <v>46156</v>
      </c>
      <c r="F67">
        <v>450</v>
      </c>
      <c r="G67" t="s">
        <v>31</v>
      </c>
      <c r="H67">
        <v>300</v>
      </c>
      <c r="I67">
        <v>91</v>
      </c>
      <c r="J67">
        <v>425085.1</v>
      </c>
      <c r="K67">
        <v>625117.93000000005</v>
      </c>
      <c r="L67">
        <f t="shared" ref="L67:L130" si="3">J67-K67</f>
        <v>-200032.83000000007</v>
      </c>
      <c r="M67" t="str">
        <f t="shared" ref="M67:M130" si="4">TEXT(E67,"YYYY-MM")</f>
        <v>2026-05</v>
      </c>
      <c r="N67">
        <f t="shared" ref="N67:N130" si="5">I67/H67</f>
        <v>0.30333333333333334</v>
      </c>
    </row>
    <row r="68" spans="1:14">
      <c r="A68" t="s">
        <v>154</v>
      </c>
      <c r="B68" t="s">
        <v>127</v>
      </c>
      <c r="C68" t="s">
        <v>40</v>
      </c>
      <c r="D68" t="s">
        <v>55</v>
      </c>
      <c r="E68" s="1">
        <v>46119</v>
      </c>
      <c r="F68">
        <v>470</v>
      </c>
      <c r="G68" t="s">
        <v>31</v>
      </c>
      <c r="H68">
        <v>150</v>
      </c>
      <c r="I68">
        <v>117</v>
      </c>
      <c r="J68">
        <v>1151125.1200000001</v>
      </c>
      <c r="K68">
        <v>560848.91</v>
      </c>
      <c r="L68">
        <f t="shared" si="3"/>
        <v>590276.21000000008</v>
      </c>
      <c r="M68" t="str">
        <f t="shared" si="4"/>
        <v>2026-04</v>
      </c>
      <c r="N68">
        <f t="shared" si="5"/>
        <v>0.78</v>
      </c>
    </row>
    <row r="69" spans="1:14">
      <c r="A69" t="s">
        <v>155</v>
      </c>
      <c r="B69" t="s">
        <v>107</v>
      </c>
      <c r="C69" t="s">
        <v>30</v>
      </c>
      <c r="D69" t="s">
        <v>45</v>
      </c>
      <c r="E69" s="1">
        <v>46158</v>
      </c>
      <c r="F69">
        <v>320</v>
      </c>
      <c r="G69" t="s">
        <v>41</v>
      </c>
      <c r="H69">
        <v>250</v>
      </c>
      <c r="I69">
        <v>117</v>
      </c>
      <c r="J69">
        <v>1365042.61</v>
      </c>
      <c r="K69">
        <v>446288.18</v>
      </c>
      <c r="L69">
        <f t="shared" si="3"/>
        <v>918754.43000000017</v>
      </c>
      <c r="M69" t="str">
        <f t="shared" si="4"/>
        <v>2026-05</v>
      </c>
      <c r="N69">
        <f t="shared" si="5"/>
        <v>0.46800000000000003</v>
      </c>
    </row>
    <row r="70" spans="1:14">
      <c r="A70" t="s">
        <v>156</v>
      </c>
      <c r="B70" t="s">
        <v>157</v>
      </c>
      <c r="C70" t="s">
        <v>45</v>
      </c>
      <c r="D70" t="s">
        <v>52</v>
      </c>
      <c r="E70" s="1">
        <v>46033</v>
      </c>
      <c r="F70">
        <v>313</v>
      </c>
      <c r="G70" t="s">
        <v>46</v>
      </c>
      <c r="H70">
        <v>300</v>
      </c>
      <c r="I70">
        <v>87</v>
      </c>
      <c r="J70">
        <v>498354.43</v>
      </c>
      <c r="K70">
        <v>399310.07</v>
      </c>
      <c r="L70">
        <f t="shared" si="3"/>
        <v>99044.359999999986</v>
      </c>
      <c r="M70" t="str">
        <f t="shared" si="4"/>
        <v>2026-01</v>
      </c>
      <c r="N70">
        <f t="shared" si="5"/>
        <v>0.28999999999999998</v>
      </c>
    </row>
    <row r="71" spans="1:14">
      <c r="A71" t="s">
        <v>158</v>
      </c>
      <c r="B71" t="s">
        <v>159</v>
      </c>
      <c r="C71" t="s">
        <v>55</v>
      </c>
      <c r="D71" t="s">
        <v>45</v>
      </c>
      <c r="E71" s="1">
        <v>46155</v>
      </c>
      <c r="F71">
        <v>186</v>
      </c>
      <c r="G71" t="s">
        <v>46</v>
      </c>
      <c r="H71">
        <v>150</v>
      </c>
      <c r="I71">
        <v>141</v>
      </c>
      <c r="J71">
        <v>1056544.6499999999</v>
      </c>
      <c r="K71">
        <v>176973.58</v>
      </c>
      <c r="L71">
        <f t="shared" si="3"/>
        <v>879571.07</v>
      </c>
      <c r="M71" t="str">
        <f t="shared" si="4"/>
        <v>2026-05</v>
      </c>
      <c r="N71">
        <f t="shared" si="5"/>
        <v>0.94</v>
      </c>
    </row>
    <row r="72" spans="1:14">
      <c r="A72" t="s">
        <v>160</v>
      </c>
      <c r="B72" t="s">
        <v>66</v>
      </c>
      <c r="C72" t="s">
        <v>49</v>
      </c>
      <c r="D72" t="s">
        <v>45</v>
      </c>
      <c r="E72" s="1">
        <v>46132</v>
      </c>
      <c r="F72">
        <v>479</v>
      </c>
      <c r="G72" t="s">
        <v>46</v>
      </c>
      <c r="H72">
        <v>250</v>
      </c>
      <c r="I72">
        <v>106</v>
      </c>
      <c r="J72">
        <v>740490.23999999999</v>
      </c>
      <c r="K72">
        <v>468927.26</v>
      </c>
      <c r="L72">
        <f t="shared" si="3"/>
        <v>271562.98</v>
      </c>
      <c r="M72" t="str">
        <f t="shared" si="4"/>
        <v>2026-04</v>
      </c>
      <c r="N72">
        <f t="shared" si="5"/>
        <v>0.42399999999999999</v>
      </c>
    </row>
    <row r="73" spans="1:14">
      <c r="A73" t="s">
        <v>161</v>
      </c>
      <c r="B73" t="s">
        <v>149</v>
      </c>
      <c r="C73" t="s">
        <v>49</v>
      </c>
      <c r="D73" t="s">
        <v>69</v>
      </c>
      <c r="E73" s="1">
        <v>46139</v>
      </c>
      <c r="F73">
        <v>303</v>
      </c>
      <c r="G73" t="s">
        <v>41</v>
      </c>
      <c r="H73">
        <v>180</v>
      </c>
      <c r="I73">
        <v>124</v>
      </c>
      <c r="J73">
        <v>1745364.82</v>
      </c>
      <c r="K73">
        <v>340275</v>
      </c>
      <c r="L73">
        <f t="shared" si="3"/>
        <v>1405089.82</v>
      </c>
      <c r="M73" t="str">
        <f t="shared" si="4"/>
        <v>2026-04</v>
      </c>
      <c r="N73">
        <f t="shared" si="5"/>
        <v>0.68888888888888888</v>
      </c>
    </row>
    <row r="74" spans="1:14">
      <c r="A74" t="s">
        <v>162</v>
      </c>
      <c r="B74" t="s">
        <v>163</v>
      </c>
      <c r="C74" t="s">
        <v>29</v>
      </c>
      <c r="D74" t="s">
        <v>69</v>
      </c>
      <c r="E74" s="1">
        <v>46174</v>
      </c>
      <c r="F74">
        <v>84</v>
      </c>
      <c r="G74" t="s">
        <v>31</v>
      </c>
      <c r="H74">
        <v>300</v>
      </c>
      <c r="I74">
        <v>247</v>
      </c>
      <c r="J74">
        <v>841417.83</v>
      </c>
      <c r="K74">
        <v>210314.62</v>
      </c>
      <c r="L74">
        <f t="shared" si="3"/>
        <v>631103.21</v>
      </c>
      <c r="M74" t="str">
        <f t="shared" si="4"/>
        <v>2026-06</v>
      </c>
      <c r="N74">
        <f t="shared" si="5"/>
        <v>0.82333333333333336</v>
      </c>
    </row>
    <row r="75" spans="1:14">
      <c r="A75" t="s">
        <v>164</v>
      </c>
      <c r="B75" t="s">
        <v>165</v>
      </c>
      <c r="C75" t="s">
        <v>34</v>
      </c>
      <c r="D75" t="s">
        <v>29</v>
      </c>
      <c r="E75" s="1">
        <v>46140</v>
      </c>
      <c r="F75">
        <v>401</v>
      </c>
      <c r="G75" t="s">
        <v>35</v>
      </c>
      <c r="H75">
        <v>250</v>
      </c>
      <c r="I75">
        <v>238</v>
      </c>
      <c r="J75">
        <v>1240825.96</v>
      </c>
      <c r="K75">
        <v>409596.57</v>
      </c>
      <c r="L75">
        <f t="shared" si="3"/>
        <v>831229.3899999999</v>
      </c>
      <c r="M75" t="str">
        <f t="shared" si="4"/>
        <v>2026-04</v>
      </c>
      <c r="N75">
        <f t="shared" si="5"/>
        <v>0.95199999999999996</v>
      </c>
    </row>
    <row r="76" spans="1:14">
      <c r="A76" t="s">
        <v>166</v>
      </c>
      <c r="B76" t="s">
        <v>167</v>
      </c>
      <c r="C76" t="s">
        <v>30</v>
      </c>
      <c r="D76" t="s">
        <v>69</v>
      </c>
      <c r="E76" s="1">
        <v>46308</v>
      </c>
      <c r="F76">
        <v>203</v>
      </c>
      <c r="G76" t="s">
        <v>35</v>
      </c>
      <c r="H76">
        <v>250</v>
      </c>
      <c r="I76">
        <v>67</v>
      </c>
      <c r="J76">
        <v>437411.92</v>
      </c>
      <c r="K76">
        <v>327967.81</v>
      </c>
      <c r="L76">
        <f t="shared" si="3"/>
        <v>109444.10999999999</v>
      </c>
      <c r="M76" t="str">
        <f t="shared" si="4"/>
        <v>2026-10</v>
      </c>
      <c r="N76">
        <f t="shared" si="5"/>
        <v>0.26800000000000002</v>
      </c>
    </row>
    <row r="77" spans="1:14">
      <c r="A77" t="s">
        <v>168</v>
      </c>
      <c r="B77" t="s">
        <v>169</v>
      </c>
      <c r="C77" t="s">
        <v>34</v>
      </c>
      <c r="D77" t="s">
        <v>40</v>
      </c>
      <c r="E77" s="1">
        <v>46154</v>
      </c>
      <c r="F77">
        <v>323</v>
      </c>
      <c r="G77" t="s">
        <v>41</v>
      </c>
      <c r="H77">
        <v>250</v>
      </c>
      <c r="I77">
        <v>152</v>
      </c>
      <c r="J77">
        <v>1829921.11</v>
      </c>
      <c r="K77">
        <v>348067.45</v>
      </c>
      <c r="L77">
        <f t="shared" si="3"/>
        <v>1481853.6600000001</v>
      </c>
      <c r="M77" t="str">
        <f t="shared" si="4"/>
        <v>2026-05</v>
      </c>
      <c r="N77">
        <f t="shared" si="5"/>
        <v>0.60799999999999998</v>
      </c>
    </row>
    <row r="78" spans="1:14">
      <c r="A78" t="s">
        <v>170</v>
      </c>
      <c r="B78" t="s">
        <v>54</v>
      </c>
      <c r="C78" t="s">
        <v>52</v>
      </c>
      <c r="D78" t="s">
        <v>55</v>
      </c>
      <c r="E78" s="1">
        <v>46269</v>
      </c>
      <c r="F78">
        <v>502</v>
      </c>
      <c r="G78" t="s">
        <v>31</v>
      </c>
      <c r="H78">
        <v>150</v>
      </c>
      <c r="I78">
        <v>121</v>
      </c>
      <c r="J78">
        <v>514165.66</v>
      </c>
      <c r="K78">
        <v>607090.51</v>
      </c>
      <c r="L78">
        <f t="shared" si="3"/>
        <v>-92924.850000000035</v>
      </c>
      <c r="M78" t="str">
        <f t="shared" si="4"/>
        <v>2026-09</v>
      </c>
      <c r="N78">
        <f t="shared" si="5"/>
        <v>0.80666666666666664</v>
      </c>
    </row>
    <row r="79" spans="1:14">
      <c r="A79" t="s">
        <v>171</v>
      </c>
      <c r="B79" t="s">
        <v>127</v>
      </c>
      <c r="C79" t="s">
        <v>40</v>
      </c>
      <c r="D79" t="s">
        <v>55</v>
      </c>
      <c r="E79" s="1">
        <v>46142</v>
      </c>
      <c r="F79">
        <v>550</v>
      </c>
      <c r="G79" t="s">
        <v>35</v>
      </c>
      <c r="H79">
        <v>300</v>
      </c>
      <c r="I79">
        <v>293</v>
      </c>
      <c r="J79">
        <v>3227987.34</v>
      </c>
      <c r="K79">
        <v>503918.95</v>
      </c>
      <c r="L79">
        <f t="shared" si="3"/>
        <v>2724068.3899999997</v>
      </c>
      <c r="M79" t="str">
        <f t="shared" si="4"/>
        <v>2026-04</v>
      </c>
      <c r="N79">
        <f t="shared" si="5"/>
        <v>0.97666666666666668</v>
      </c>
    </row>
    <row r="80" spans="1:14">
      <c r="A80" t="s">
        <v>172</v>
      </c>
      <c r="B80" t="s">
        <v>173</v>
      </c>
      <c r="C80" t="s">
        <v>40</v>
      </c>
      <c r="D80" t="s">
        <v>49</v>
      </c>
      <c r="E80" s="1">
        <v>46058</v>
      </c>
      <c r="F80">
        <v>344</v>
      </c>
      <c r="G80" t="s">
        <v>35</v>
      </c>
      <c r="H80">
        <v>180</v>
      </c>
      <c r="I80">
        <v>51</v>
      </c>
      <c r="J80">
        <v>710301.89</v>
      </c>
      <c r="K80">
        <v>412442.51</v>
      </c>
      <c r="L80">
        <f t="shared" si="3"/>
        <v>297859.38</v>
      </c>
      <c r="M80" t="str">
        <f t="shared" si="4"/>
        <v>2026-02</v>
      </c>
      <c r="N80">
        <f t="shared" si="5"/>
        <v>0.28333333333333333</v>
      </c>
    </row>
    <row r="81" spans="1:14">
      <c r="A81" t="s">
        <v>174</v>
      </c>
      <c r="B81" t="s">
        <v>175</v>
      </c>
      <c r="C81" t="s">
        <v>40</v>
      </c>
      <c r="D81" t="s">
        <v>29</v>
      </c>
      <c r="E81" s="1">
        <v>46278</v>
      </c>
      <c r="F81">
        <v>285</v>
      </c>
      <c r="G81" t="s">
        <v>41</v>
      </c>
      <c r="H81">
        <v>300</v>
      </c>
      <c r="I81">
        <v>148</v>
      </c>
      <c r="J81">
        <v>2128453.0699999998</v>
      </c>
      <c r="K81">
        <v>444839.36</v>
      </c>
      <c r="L81">
        <f t="shared" si="3"/>
        <v>1683613.71</v>
      </c>
      <c r="M81" t="str">
        <f t="shared" si="4"/>
        <v>2026-09</v>
      </c>
      <c r="N81">
        <f t="shared" si="5"/>
        <v>0.49333333333333335</v>
      </c>
    </row>
    <row r="82" spans="1:14">
      <c r="A82" t="s">
        <v>176</v>
      </c>
      <c r="B82" t="s">
        <v>144</v>
      </c>
      <c r="C82" t="s">
        <v>49</v>
      </c>
      <c r="D82" t="s">
        <v>55</v>
      </c>
      <c r="E82" s="1">
        <v>46036</v>
      </c>
      <c r="F82">
        <v>580</v>
      </c>
      <c r="G82" t="s">
        <v>35</v>
      </c>
      <c r="H82">
        <v>180</v>
      </c>
      <c r="I82">
        <v>74</v>
      </c>
      <c r="J82">
        <v>451004.26</v>
      </c>
      <c r="K82">
        <v>436578.57</v>
      </c>
      <c r="L82">
        <f t="shared" si="3"/>
        <v>14425.690000000002</v>
      </c>
      <c r="M82" t="str">
        <f t="shared" si="4"/>
        <v>2026-01</v>
      </c>
      <c r="N82">
        <f t="shared" si="5"/>
        <v>0.41111111111111109</v>
      </c>
    </row>
    <row r="83" spans="1:14">
      <c r="A83" t="s">
        <v>177</v>
      </c>
      <c r="B83" t="s">
        <v>62</v>
      </c>
      <c r="C83" t="s">
        <v>52</v>
      </c>
      <c r="D83" t="s">
        <v>40</v>
      </c>
      <c r="E83" s="1">
        <v>46063</v>
      </c>
      <c r="F83">
        <v>93</v>
      </c>
      <c r="G83" t="s">
        <v>41</v>
      </c>
      <c r="H83">
        <v>150</v>
      </c>
      <c r="I83">
        <v>74</v>
      </c>
      <c r="J83">
        <v>663748.82999999996</v>
      </c>
      <c r="K83">
        <v>168385.19</v>
      </c>
      <c r="L83">
        <f t="shared" si="3"/>
        <v>495363.63999999996</v>
      </c>
      <c r="M83" t="str">
        <f t="shared" si="4"/>
        <v>2026-02</v>
      </c>
      <c r="N83">
        <f t="shared" si="5"/>
        <v>0.49333333333333335</v>
      </c>
    </row>
    <row r="84" spans="1:14">
      <c r="A84" t="s">
        <v>178</v>
      </c>
      <c r="B84" t="s">
        <v>39</v>
      </c>
      <c r="C84" t="s">
        <v>29</v>
      </c>
      <c r="D84" t="s">
        <v>40</v>
      </c>
      <c r="E84" s="1">
        <v>46259</v>
      </c>
      <c r="F84">
        <v>514</v>
      </c>
      <c r="G84" t="s">
        <v>46</v>
      </c>
      <c r="H84">
        <v>150</v>
      </c>
      <c r="I84">
        <v>66</v>
      </c>
      <c r="J84">
        <v>529666.26</v>
      </c>
      <c r="K84">
        <v>469853.24</v>
      </c>
      <c r="L84">
        <f t="shared" si="3"/>
        <v>59813.020000000019</v>
      </c>
      <c r="M84" t="str">
        <f t="shared" si="4"/>
        <v>2026-08</v>
      </c>
      <c r="N84">
        <f t="shared" si="5"/>
        <v>0.44</v>
      </c>
    </row>
    <row r="85" spans="1:14">
      <c r="A85" t="s">
        <v>179</v>
      </c>
      <c r="B85" t="s">
        <v>175</v>
      </c>
      <c r="C85" t="s">
        <v>40</v>
      </c>
      <c r="D85" t="s">
        <v>29</v>
      </c>
      <c r="E85" s="1">
        <v>46304</v>
      </c>
      <c r="F85">
        <v>88</v>
      </c>
      <c r="G85" t="s">
        <v>41</v>
      </c>
      <c r="H85">
        <v>250</v>
      </c>
      <c r="I85">
        <v>89</v>
      </c>
      <c r="J85">
        <v>733922.55</v>
      </c>
      <c r="K85">
        <v>225395.64</v>
      </c>
      <c r="L85">
        <f t="shared" si="3"/>
        <v>508526.91000000003</v>
      </c>
      <c r="M85" t="str">
        <f t="shared" si="4"/>
        <v>2026-10</v>
      </c>
      <c r="N85">
        <f t="shared" si="5"/>
        <v>0.35599999999999998</v>
      </c>
    </row>
    <row r="86" spans="1:14">
      <c r="A86" t="s">
        <v>180</v>
      </c>
      <c r="B86" t="s">
        <v>163</v>
      </c>
      <c r="C86" t="s">
        <v>29</v>
      </c>
      <c r="D86" t="s">
        <v>69</v>
      </c>
      <c r="E86" s="1">
        <v>46058</v>
      </c>
      <c r="F86">
        <v>207</v>
      </c>
      <c r="G86" t="s">
        <v>31</v>
      </c>
      <c r="H86">
        <v>250</v>
      </c>
      <c r="I86">
        <v>130</v>
      </c>
      <c r="J86">
        <v>1164331.3500000001</v>
      </c>
      <c r="K86">
        <v>314982.53000000003</v>
      </c>
      <c r="L86">
        <f t="shared" si="3"/>
        <v>849348.82000000007</v>
      </c>
      <c r="M86" t="str">
        <f t="shared" si="4"/>
        <v>2026-02</v>
      </c>
      <c r="N86">
        <f t="shared" si="5"/>
        <v>0.52</v>
      </c>
    </row>
    <row r="87" spans="1:14">
      <c r="A87" t="s">
        <v>181</v>
      </c>
      <c r="B87" t="s">
        <v>182</v>
      </c>
      <c r="C87" t="s">
        <v>45</v>
      </c>
      <c r="D87" t="s">
        <v>34</v>
      </c>
      <c r="E87" s="1">
        <v>46239</v>
      </c>
      <c r="F87">
        <v>120</v>
      </c>
      <c r="G87" t="s">
        <v>31</v>
      </c>
      <c r="H87">
        <v>300</v>
      </c>
      <c r="I87">
        <v>91</v>
      </c>
      <c r="J87">
        <v>774972.21</v>
      </c>
      <c r="K87">
        <v>216378.41</v>
      </c>
      <c r="L87">
        <f t="shared" si="3"/>
        <v>558593.79999999993</v>
      </c>
      <c r="M87" t="str">
        <f t="shared" si="4"/>
        <v>2026-08</v>
      </c>
      <c r="N87">
        <f t="shared" si="5"/>
        <v>0.30333333333333334</v>
      </c>
    </row>
    <row r="88" spans="1:14">
      <c r="A88" t="s">
        <v>183</v>
      </c>
      <c r="B88" t="s">
        <v>184</v>
      </c>
      <c r="C88" t="s">
        <v>29</v>
      </c>
      <c r="D88" t="s">
        <v>44</v>
      </c>
      <c r="E88" s="1">
        <v>46066</v>
      </c>
      <c r="F88">
        <v>76</v>
      </c>
      <c r="G88" t="s">
        <v>46</v>
      </c>
      <c r="H88">
        <v>150</v>
      </c>
      <c r="I88">
        <v>104</v>
      </c>
      <c r="J88">
        <v>962583.23</v>
      </c>
      <c r="K88">
        <v>117612.72</v>
      </c>
      <c r="L88">
        <f t="shared" si="3"/>
        <v>844970.51</v>
      </c>
      <c r="M88" t="str">
        <f t="shared" si="4"/>
        <v>2026-02</v>
      </c>
      <c r="N88">
        <f t="shared" si="5"/>
        <v>0.69333333333333336</v>
      </c>
    </row>
    <row r="89" spans="1:14">
      <c r="A89" t="s">
        <v>185</v>
      </c>
      <c r="B89" t="s">
        <v>186</v>
      </c>
      <c r="C89" t="s">
        <v>49</v>
      </c>
      <c r="D89" t="s">
        <v>30</v>
      </c>
      <c r="E89" s="1">
        <v>46220</v>
      </c>
      <c r="F89">
        <v>259</v>
      </c>
      <c r="G89" t="s">
        <v>41</v>
      </c>
      <c r="H89">
        <v>180</v>
      </c>
      <c r="I89">
        <v>138</v>
      </c>
      <c r="J89">
        <v>1484877.11</v>
      </c>
      <c r="K89">
        <v>345172.67</v>
      </c>
      <c r="L89">
        <f t="shared" si="3"/>
        <v>1139704.4400000002</v>
      </c>
      <c r="M89" t="str">
        <f t="shared" si="4"/>
        <v>2026-07</v>
      </c>
      <c r="N89">
        <f t="shared" si="5"/>
        <v>0.76666666666666672</v>
      </c>
    </row>
    <row r="90" spans="1:14">
      <c r="A90" t="s">
        <v>187</v>
      </c>
      <c r="B90" t="s">
        <v>169</v>
      </c>
      <c r="C90" t="s">
        <v>34</v>
      </c>
      <c r="D90" t="s">
        <v>40</v>
      </c>
      <c r="E90" s="1">
        <v>46292</v>
      </c>
      <c r="F90">
        <v>394</v>
      </c>
      <c r="G90" t="s">
        <v>41</v>
      </c>
      <c r="H90">
        <v>250</v>
      </c>
      <c r="I90">
        <v>186</v>
      </c>
      <c r="J90">
        <v>987881.03</v>
      </c>
      <c r="K90">
        <v>353794.78</v>
      </c>
      <c r="L90">
        <f t="shared" si="3"/>
        <v>634086.25</v>
      </c>
      <c r="M90" t="str">
        <f t="shared" si="4"/>
        <v>2026-09</v>
      </c>
      <c r="N90">
        <f t="shared" si="5"/>
        <v>0.74399999999999999</v>
      </c>
    </row>
    <row r="91" spans="1:14">
      <c r="A91" t="s">
        <v>188</v>
      </c>
      <c r="B91" t="s">
        <v>71</v>
      </c>
      <c r="C91" t="s">
        <v>44</v>
      </c>
      <c r="D91" t="s">
        <v>40</v>
      </c>
      <c r="E91" s="1">
        <v>46125</v>
      </c>
      <c r="F91">
        <v>332</v>
      </c>
      <c r="G91" t="s">
        <v>46</v>
      </c>
      <c r="H91">
        <v>250</v>
      </c>
      <c r="I91">
        <v>201</v>
      </c>
      <c r="J91">
        <v>1157781.32</v>
      </c>
      <c r="K91">
        <v>319019.74</v>
      </c>
      <c r="L91">
        <f t="shared" si="3"/>
        <v>838761.58000000007</v>
      </c>
      <c r="M91" t="str">
        <f t="shared" si="4"/>
        <v>2026-04</v>
      </c>
      <c r="N91">
        <f t="shared" si="5"/>
        <v>0.80400000000000005</v>
      </c>
    </row>
    <row r="92" spans="1:14">
      <c r="A92" t="s">
        <v>189</v>
      </c>
      <c r="B92" t="s">
        <v>190</v>
      </c>
      <c r="C92" t="s">
        <v>44</v>
      </c>
      <c r="D92" t="s">
        <v>52</v>
      </c>
      <c r="E92" s="1">
        <v>46026</v>
      </c>
      <c r="F92">
        <v>408</v>
      </c>
      <c r="G92" t="s">
        <v>46</v>
      </c>
      <c r="H92">
        <v>150</v>
      </c>
      <c r="I92">
        <v>62</v>
      </c>
      <c r="J92">
        <v>651663.18000000005</v>
      </c>
      <c r="K92">
        <v>532035.24</v>
      </c>
      <c r="L92">
        <f t="shared" si="3"/>
        <v>119627.94000000006</v>
      </c>
      <c r="M92" t="str">
        <f t="shared" si="4"/>
        <v>2026-01</v>
      </c>
      <c r="N92">
        <f t="shared" si="5"/>
        <v>0.41333333333333333</v>
      </c>
    </row>
    <row r="93" spans="1:14">
      <c r="A93" t="s">
        <v>191</v>
      </c>
      <c r="B93" t="s">
        <v>192</v>
      </c>
      <c r="C93" t="s">
        <v>49</v>
      </c>
      <c r="D93" t="s">
        <v>44</v>
      </c>
      <c r="E93" s="1">
        <v>46291</v>
      </c>
      <c r="F93">
        <v>200</v>
      </c>
      <c r="G93" t="s">
        <v>46</v>
      </c>
      <c r="H93">
        <v>300</v>
      </c>
      <c r="I93">
        <v>145</v>
      </c>
      <c r="J93">
        <v>1824882.83</v>
      </c>
      <c r="K93">
        <v>389710.78</v>
      </c>
      <c r="L93">
        <f t="shared" si="3"/>
        <v>1435172.05</v>
      </c>
      <c r="M93" t="str">
        <f t="shared" si="4"/>
        <v>2026-09</v>
      </c>
      <c r="N93">
        <f t="shared" si="5"/>
        <v>0.48333333333333334</v>
      </c>
    </row>
    <row r="94" spans="1:14">
      <c r="A94" t="s">
        <v>193</v>
      </c>
      <c r="B94" t="s">
        <v>107</v>
      </c>
      <c r="C94" t="s">
        <v>30</v>
      </c>
      <c r="D94" t="s">
        <v>45</v>
      </c>
      <c r="E94" s="1">
        <v>46288</v>
      </c>
      <c r="F94">
        <v>418</v>
      </c>
      <c r="G94" t="s">
        <v>35</v>
      </c>
      <c r="H94">
        <v>150</v>
      </c>
      <c r="I94">
        <v>114</v>
      </c>
      <c r="J94">
        <v>668647.14</v>
      </c>
      <c r="K94">
        <v>316324.73</v>
      </c>
      <c r="L94">
        <f t="shared" si="3"/>
        <v>352322.41000000003</v>
      </c>
      <c r="M94" t="str">
        <f t="shared" si="4"/>
        <v>2026-09</v>
      </c>
      <c r="N94">
        <f t="shared" si="5"/>
        <v>0.76</v>
      </c>
    </row>
    <row r="95" spans="1:14">
      <c r="A95" t="s">
        <v>194</v>
      </c>
      <c r="B95" t="s">
        <v>182</v>
      </c>
      <c r="C95" t="s">
        <v>45</v>
      </c>
      <c r="D95" t="s">
        <v>34</v>
      </c>
      <c r="E95" s="1">
        <v>46095</v>
      </c>
      <c r="F95">
        <v>458</v>
      </c>
      <c r="G95" t="s">
        <v>41</v>
      </c>
      <c r="H95">
        <v>150</v>
      </c>
      <c r="I95">
        <v>137</v>
      </c>
      <c r="J95">
        <v>615575.34</v>
      </c>
      <c r="K95">
        <v>610626.87</v>
      </c>
      <c r="L95">
        <f t="shared" si="3"/>
        <v>4948.4699999999721</v>
      </c>
      <c r="M95" t="str">
        <f t="shared" si="4"/>
        <v>2026-03</v>
      </c>
      <c r="N95">
        <f t="shared" si="5"/>
        <v>0.91333333333333333</v>
      </c>
    </row>
    <row r="96" spans="1:14">
      <c r="A96" t="s">
        <v>195</v>
      </c>
      <c r="B96" t="s">
        <v>122</v>
      </c>
      <c r="C96" t="s">
        <v>29</v>
      </c>
      <c r="D96" t="s">
        <v>45</v>
      </c>
      <c r="E96" s="1">
        <v>46175</v>
      </c>
      <c r="F96">
        <v>369</v>
      </c>
      <c r="G96" t="s">
        <v>41</v>
      </c>
      <c r="H96">
        <v>250</v>
      </c>
      <c r="I96">
        <v>159</v>
      </c>
      <c r="J96">
        <v>917118</v>
      </c>
      <c r="K96">
        <v>355097.19</v>
      </c>
      <c r="L96">
        <f t="shared" si="3"/>
        <v>562020.81000000006</v>
      </c>
      <c r="M96" t="str">
        <f t="shared" si="4"/>
        <v>2026-06</v>
      </c>
      <c r="N96">
        <f t="shared" si="5"/>
        <v>0.63600000000000001</v>
      </c>
    </row>
    <row r="97" spans="1:14">
      <c r="A97" t="s">
        <v>196</v>
      </c>
      <c r="B97" t="s">
        <v>57</v>
      </c>
      <c r="C97" t="s">
        <v>52</v>
      </c>
      <c r="D97" t="s">
        <v>49</v>
      </c>
      <c r="E97" s="1">
        <v>46237</v>
      </c>
      <c r="F97">
        <v>580</v>
      </c>
      <c r="G97" t="s">
        <v>31</v>
      </c>
      <c r="H97">
        <v>300</v>
      </c>
      <c r="I97">
        <v>171</v>
      </c>
      <c r="J97">
        <v>1590364.64</v>
      </c>
      <c r="K97">
        <v>545654.75</v>
      </c>
      <c r="L97">
        <f t="shared" si="3"/>
        <v>1044709.8899999999</v>
      </c>
      <c r="M97" t="str">
        <f t="shared" si="4"/>
        <v>2026-08</v>
      </c>
      <c r="N97">
        <f t="shared" si="5"/>
        <v>0.56999999999999995</v>
      </c>
    </row>
    <row r="98" spans="1:14">
      <c r="A98" t="s">
        <v>197</v>
      </c>
      <c r="B98" t="s">
        <v>198</v>
      </c>
      <c r="C98" t="s">
        <v>45</v>
      </c>
      <c r="D98" t="s">
        <v>40</v>
      </c>
      <c r="E98" s="1">
        <v>46291</v>
      </c>
      <c r="F98">
        <v>179</v>
      </c>
      <c r="G98" t="s">
        <v>41</v>
      </c>
      <c r="H98">
        <v>250</v>
      </c>
      <c r="I98">
        <v>138</v>
      </c>
      <c r="J98">
        <v>1395908.53</v>
      </c>
      <c r="K98">
        <v>287184.8</v>
      </c>
      <c r="L98">
        <f t="shared" si="3"/>
        <v>1108723.73</v>
      </c>
      <c r="M98" t="str">
        <f t="shared" si="4"/>
        <v>2026-09</v>
      </c>
      <c r="N98">
        <f t="shared" si="5"/>
        <v>0.55200000000000005</v>
      </c>
    </row>
    <row r="99" spans="1:14">
      <c r="A99" t="s">
        <v>199</v>
      </c>
      <c r="B99" t="s">
        <v>200</v>
      </c>
      <c r="C99" t="s">
        <v>69</v>
      </c>
      <c r="D99" t="s">
        <v>52</v>
      </c>
      <c r="E99" s="1">
        <v>46248</v>
      </c>
      <c r="F99">
        <v>391</v>
      </c>
      <c r="G99" t="s">
        <v>46</v>
      </c>
      <c r="H99">
        <v>150</v>
      </c>
      <c r="I99">
        <v>128</v>
      </c>
      <c r="J99">
        <v>1390451.68</v>
      </c>
      <c r="K99">
        <v>421269.66</v>
      </c>
      <c r="L99">
        <f t="shared" si="3"/>
        <v>969182.02</v>
      </c>
      <c r="M99" t="str">
        <f t="shared" si="4"/>
        <v>2026-08</v>
      </c>
      <c r="N99">
        <f t="shared" si="5"/>
        <v>0.85333333333333339</v>
      </c>
    </row>
    <row r="100" spans="1:14">
      <c r="A100" t="s">
        <v>201</v>
      </c>
      <c r="B100" t="s">
        <v>202</v>
      </c>
      <c r="C100" t="s">
        <v>29</v>
      </c>
      <c r="D100" t="s">
        <v>55</v>
      </c>
      <c r="E100" s="1">
        <v>46059</v>
      </c>
      <c r="F100">
        <v>375</v>
      </c>
      <c r="G100" t="s">
        <v>35</v>
      </c>
      <c r="H100">
        <v>150</v>
      </c>
      <c r="I100">
        <v>77</v>
      </c>
      <c r="J100">
        <v>301344.90999999997</v>
      </c>
      <c r="K100">
        <v>485941.81</v>
      </c>
      <c r="L100">
        <f t="shared" si="3"/>
        <v>-184596.90000000002</v>
      </c>
      <c r="M100" t="str">
        <f t="shared" si="4"/>
        <v>2026-02</v>
      </c>
      <c r="N100">
        <f t="shared" si="5"/>
        <v>0.51333333333333331</v>
      </c>
    </row>
    <row r="101" spans="1:14">
      <c r="A101" t="s">
        <v>203</v>
      </c>
      <c r="B101" t="s">
        <v>54</v>
      </c>
      <c r="C101" t="s">
        <v>52</v>
      </c>
      <c r="D101" t="s">
        <v>55</v>
      </c>
      <c r="E101" s="1">
        <v>46284</v>
      </c>
      <c r="F101">
        <v>275</v>
      </c>
      <c r="G101" t="s">
        <v>31</v>
      </c>
      <c r="H101">
        <v>300</v>
      </c>
      <c r="I101">
        <v>217</v>
      </c>
      <c r="J101">
        <v>1289723.53</v>
      </c>
      <c r="K101">
        <v>317788.08</v>
      </c>
      <c r="L101">
        <f t="shared" si="3"/>
        <v>971935.45</v>
      </c>
      <c r="M101" t="str">
        <f t="shared" si="4"/>
        <v>2026-09</v>
      </c>
      <c r="N101">
        <f t="shared" si="5"/>
        <v>0.72333333333333338</v>
      </c>
    </row>
    <row r="102" spans="1:14">
      <c r="A102" t="s">
        <v>204</v>
      </c>
      <c r="B102" t="s">
        <v>205</v>
      </c>
      <c r="C102" t="s">
        <v>52</v>
      </c>
      <c r="D102" t="s">
        <v>44</v>
      </c>
      <c r="E102" s="1">
        <v>46257</v>
      </c>
      <c r="F102">
        <v>90</v>
      </c>
      <c r="G102" t="s">
        <v>31</v>
      </c>
      <c r="H102">
        <v>180</v>
      </c>
      <c r="I102">
        <v>156</v>
      </c>
      <c r="J102">
        <v>895986.3</v>
      </c>
      <c r="K102">
        <v>192248.18</v>
      </c>
      <c r="L102">
        <f t="shared" si="3"/>
        <v>703738.12000000011</v>
      </c>
      <c r="M102" t="str">
        <f t="shared" si="4"/>
        <v>2026-08</v>
      </c>
      <c r="N102">
        <f t="shared" si="5"/>
        <v>0.8666666666666667</v>
      </c>
    </row>
    <row r="103" spans="1:14">
      <c r="A103" t="s">
        <v>206</v>
      </c>
      <c r="B103" t="s">
        <v>71</v>
      </c>
      <c r="C103" t="s">
        <v>44</v>
      </c>
      <c r="D103" t="s">
        <v>40</v>
      </c>
      <c r="E103" s="1">
        <v>46246</v>
      </c>
      <c r="F103">
        <v>584</v>
      </c>
      <c r="G103" t="s">
        <v>46</v>
      </c>
      <c r="H103">
        <v>250</v>
      </c>
      <c r="I103">
        <v>162</v>
      </c>
      <c r="J103">
        <v>1574337.34</v>
      </c>
      <c r="K103">
        <v>464356.97</v>
      </c>
      <c r="L103">
        <f t="shared" si="3"/>
        <v>1109980.3700000001</v>
      </c>
      <c r="M103" t="str">
        <f t="shared" si="4"/>
        <v>2026-08</v>
      </c>
      <c r="N103">
        <f t="shared" si="5"/>
        <v>0.64800000000000002</v>
      </c>
    </row>
    <row r="104" spans="1:14">
      <c r="A104" t="s">
        <v>207</v>
      </c>
      <c r="B104" t="s">
        <v>208</v>
      </c>
      <c r="C104" t="s">
        <v>44</v>
      </c>
      <c r="D104" t="s">
        <v>49</v>
      </c>
      <c r="E104" s="1">
        <v>46255</v>
      </c>
      <c r="F104">
        <v>283</v>
      </c>
      <c r="G104" t="s">
        <v>46</v>
      </c>
      <c r="H104">
        <v>250</v>
      </c>
      <c r="I104">
        <v>205</v>
      </c>
      <c r="J104">
        <v>2171249.86</v>
      </c>
      <c r="K104">
        <v>451134.77</v>
      </c>
      <c r="L104">
        <f t="shared" si="3"/>
        <v>1720115.0899999999</v>
      </c>
      <c r="M104" t="str">
        <f t="shared" si="4"/>
        <v>2026-08</v>
      </c>
      <c r="N104">
        <f t="shared" si="5"/>
        <v>0.82</v>
      </c>
    </row>
    <row r="105" spans="1:14">
      <c r="A105" t="s">
        <v>209</v>
      </c>
      <c r="B105" t="s">
        <v>210</v>
      </c>
      <c r="C105" t="s">
        <v>55</v>
      </c>
      <c r="D105" t="s">
        <v>69</v>
      </c>
      <c r="E105" s="1">
        <v>46215</v>
      </c>
      <c r="F105">
        <v>81</v>
      </c>
      <c r="G105" t="s">
        <v>46</v>
      </c>
      <c r="H105">
        <v>300</v>
      </c>
      <c r="I105">
        <v>300</v>
      </c>
      <c r="J105">
        <v>3968692.77</v>
      </c>
      <c r="K105">
        <v>246641.41</v>
      </c>
      <c r="L105">
        <f t="shared" si="3"/>
        <v>3722051.36</v>
      </c>
      <c r="M105" t="str">
        <f t="shared" si="4"/>
        <v>2026-07</v>
      </c>
      <c r="N105">
        <f t="shared" si="5"/>
        <v>1</v>
      </c>
    </row>
    <row r="106" spans="1:14">
      <c r="A106" t="s">
        <v>211</v>
      </c>
      <c r="B106" t="s">
        <v>51</v>
      </c>
      <c r="C106" t="s">
        <v>52</v>
      </c>
      <c r="D106" t="s">
        <v>30</v>
      </c>
      <c r="E106" s="1">
        <v>46101</v>
      </c>
      <c r="F106">
        <v>518</v>
      </c>
      <c r="G106" t="s">
        <v>46</v>
      </c>
      <c r="H106">
        <v>250</v>
      </c>
      <c r="I106">
        <v>75</v>
      </c>
      <c r="J106">
        <v>368044.45</v>
      </c>
      <c r="K106">
        <v>553892.39</v>
      </c>
      <c r="L106">
        <f t="shared" si="3"/>
        <v>-185847.94</v>
      </c>
      <c r="M106" t="str">
        <f t="shared" si="4"/>
        <v>2026-03</v>
      </c>
      <c r="N106">
        <f t="shared" si="5"/>
        <v>0.3</v>
      </c>
    </row>
    <row r="107" spans="1:14">
      <c r="A107" t="s">
        <v>212</v>
      </c>
      <c r="B107" t="s">
        <v>96</v>
      </c>
      <c r="C107" t="s">
        <v>69</v>
      </c>
      <c r="D107" t="s">
        <v>30</v>
      </c>
      <c r="E107" s="1">
        <v>46310</v>
      </c>
      <c r="F107">
        <v>189</v>
      </c>
      <c r="G107" t="s">
        <v>31</v>
      </c>
      <c r="H107">
        <v>180</v>
      </c>
      <c r="I107">
        <v>133</v>
      </c>
      <c r="J107">
        <v>1443599.9</v>
      </c>
      <c r="K107">
        <v>220652.24</v>
      </c>
      <c r="L107">
        <f t="shared" si="3"/>
        <v>1222947.6599999999</v>
      </c>
      <c r="M107" t="str">
        <f t="shared" si="4"/>
        <v>2026-10</v>
      </c>
      <c r="N107">
        <f t="shared" si="5"/>
        <v>0.73888888888888893</v>
      </c>
    </row>
    <row r="108" spans="1:14">
      <c r="A108" t="s">
        <v>213</v>
      </c>
      <c r="B108" t="s">
        <v>163</v>
      </c>
      <c r="C108" t="s">
        <v>29</v>
      </c>
      <c r="D108" t="s">
        <v>69</v>
      </c>
      <c r="E108" s="1">
        <v>46279</v>
      </c>
      <c r="F108">
        <v>586</v>
      </c>
      <c r="G108" t="s">
        <v>46</v>
      </c>
      <c r="H108">
        <v>150</v>
      </c>
      <c r="I108">
        <v>84</v>
      </c>
      <c r="J108">
        <v>283383.15999999997</v>
      </c>
      <c r="K108">
        <v>635313.73</v>
      </c>
      <c r="L108">
        <f t="shared" si="3"/>
        <v>-351930.57</v>
      </c>
      <c r="M108" t="str">
        <f t="shared" si="4"/>
        <v>2026-09</v>
      </c>
      <c r="N108">
        <f t="shared" si="5"/>
        <v>0.56000000000000005</v>
      </c>
    </row>
    <row r="109" spans="1:14">
      <c r="A109" t="s">
        <v>214</v>
      </c>
      <c r="B109" t="s">
        <v>81</v>
      </c>
      <c r="C109" t="s">
        <v>34</v>
      </c>
      <c r="D109" t="s">
        <v>69</v>
      </c>
      <c r="E109" s="1">
        <v>46101</v>
      </c>
      <c r="F109">
        <v>86</v>
      </c>
      <c r="G109" t="s">
        <v>46</v>
      </c>
      <c r="H109">
        <v>180</v>
      </c>
      <c r="I109">
        <v>180</v>
      </c>
      <c r="J109">
        <v>2261083.31</v>
      </c>
      <c r="K109">
        <v>150708.91</v>
      </c>
      <c r="L109">
        <f t="shared" si="3"/>
        <v>2110374.4</v>
      </c>
      <c r="M109" t="str">
        <f t="shared" si="4"/>
        <v>2026-03</v>
      </c>
      <c r="N109">
        <f t="shared" si="5"/>
        <v>1</v>
      </c>
    </row>
    <row r="110" spans="1:14">
      <c r="A110" t="s">
        <v>215</v>
      </c>
      <c r="B110" t="s">
        <v>163</v>
      </c>
      <c r="C110" t="s">
        <v>29</v>
      </c>
      <c r="D110" t="s">
        <v>69</v>
      </c>
      <c r="E110" s="1">
        <v>46236</v>
      </c>
      <c r="F110">
        <v>560</v>
      </c>
      <c r="G110" t="s">
        <v>41</v>
      </c>
      <c r="H110">
        <v>180</v>
      </c>
      <c r="I110">
        <v>137</v>
      </c>
      <c r="J110">
        <v>1123257.6599999999</v>
      </c>
      <c r="K110">
        <v>755865.75</v>
      </c>
      <c r="L110">
        <f t="shared" si="3"/>
        <v>367391.90999999992</v>
      </c>
      <c r="M110" t="str">
        <f t="shared" si="4"/>
        <v>2026-08</v>
      </c>
      <c r="N110">
        <f t="shared" si="5"/>
        <v>0.76111111111111107</v>
      </c>
    </row>
    <row r="111" spans="1:14">
      <c r="A111" t="s">
        <v>216</v>
      </c>
      <c r="B111" t="s">
        <v>149</v>
      </c>
      <c r="C111" t="s">
        <v>49</v>
      </c>
      <c r="D111" t="s">
        <v>69</v>
      </c>
      <c r="E111" s="1">
        <v>46188</v>
      </c>
      <c r="F111">
        <v>70</v>
      </c>
      <c r="G111" t="s">
        <v>41</v>
      </c>
      <c r="H111">
        <v>150</v>
      </c>
      <c r="I111">
        <v>82</v>
      </c>
      <c r="J111">
        <v>1183406.26</v>
      </c>
      <c r="K111">
        <v>154483.10999999999</v>
      </c>
      <c r="L111">
        <f t="shared" si="3"/>
        <v>1028923.15</v>
      </c>
      <c r="M111" t="str">
        <f t="shared" si="4"/>
        <v>2026-06</v>
      </c>
      <c r="N111">
        <f t="shared" si="5"/>
        <v>0.54666666666666663</v>
      </c>
    </row>
    <row r="112" spans="1:14">
      <c r="A112" t="s">
        <v>217</v>
      </c>
      <c r="B112" t="s">
        <v>218</v>
      </c>
      <c r="C112" t="s">
        <v>55</v>
      </c>
      <c r="D112" t="s">
        <v>29</v>
      </c>
      <c r="E112" s="1">
        <v>46102</v>
      </c>
      <c r="F112">
        <v>369</v>
      </c>
      <c r="G112" t="s">
        <v>46</v>
      </c>
      <c r="H112">
        <v>300</v>
      </c>
      <c r="I112">
        <v>197</v>
      </c>
      <c r="J112">
        <v>1408983.17</v>
      </c>
      <c r="K112">
        <v>534890.36</v>
      </c>
      <c r="L112">
        <f t="shared" si="3"/>
        <v>874092.80999999994</v>
      </c>
      <c r="M112" t="str">
        <f t="shared" si="4"/>
        <v>2026-03</v>
      </c>
      <c r="N112">
        <f t="shared" si="5"/>
        <v>0.65666666666666662</v>
      </c>
    </row>
    <row r="113" spans="1:14">
      <c r="A113" t="s">
        <v>219</v>
      </c>
      <c r="B113" t="s">
        <v>220</v>
      </c>
      <c r="C113" t="s">
        <v>34</v>
      </c>
      <c r="D113" t="s">
        <v>49</v>
      </c>
      <c r="E113" s="1">
        <v>46099</v>
      </c>
      <c r="F113">
        <v>175</v>
      </c>
      <c r="G113" t="s">
        <v>46</v>
      </c>
      <c r="H113">
        <v>180</v>
      </c>
      <c r="I113">
        <v>152</v>
      </c>
      <c r="J113">
        <v>698073.54</v>
      </c>
      <c r="K113">
        <v>247023.75</v>
      </c>
      <c r="L113">
        <f t="shared" si="3"/>
        <v>451049.79000000004</v>
      </c>
      <c r="M113" t="str">
        <f t="shared" si="4"/>
        <v>2026-03</v>
      </c>
      <c r="N113">
        <f t="shared" si="5"/>
        <v>0.84444444444444444</v>
      </c>
    </row>
    <row r="114" spans="1:14">
      <c r="A114" t="s">
        <v>221</v>
      </c>
      <c r="B114" t="s">
        <v>54</v>
      </c>
      <c r="C114" t="s">
        <v>52</v>
      </c>
      <c r="D114" t="s">
        <v>55</v>
      </c>
      <c r="E114" s="1">
        <v>46145</v>
      </c>
      <c r="F114">
        <v>68</v>
      </c>
      <c r="G114" t="s">
        <v>46</v>
      </c>
      <c r="H114">
        <v>150</v>
      </c>
      <c r="I114">
        <v>144</v>
      </c>
      <c r="J114">
        <v>1367360.07</v>
      </c>
      <c r="K114">
        <v>142751.28</v>
      </c>
      <c r="L114">
        <f t="shared" si="3"/>
        <v>1224608.79</v>
      </c>
      <c r="M114" t="str">
        <f t="shared" si="4"/>
        <v>2026-05</v>
      </c>
      <c r="N114">
        <f t="shared" si="5"/>
        <v>0.96</v>
      </c>
    </row>
    <row r="115" spans="1:14">
      <c r="A115" t="s">
        <v>222</v>
      </c>
      <c r="B115" t="s">
        <v>88</v>
      </c>
      <c r="C115" t="s">
        <v>55</v>
      </c>
      <c r="D115" t="s">
        <v>44</v>
      </c>
      <c r="E115" s="1">
        <v>46029</v>
      </c>
      <c r="F115">
        <v>518</v>
      </c>
      <c r="G115" t="s">
        <v>35</v>
      </c>
      <c r="H115">
        <v>300</v>
      </c>
      <c r="I115">
        <v>181</v>
      </c>
      <c r="J115">
        <v>1840717.57</v>
      </c>
      <c r="K115">
        <v>693217.68</v>
      </c>
      <c r="L115">
        <f t="shared" si="3"/>
        <v>1147499.8900000001</v>
      </c>
      <c r="M115" t="str">
        <f t="shared" si="4"/>
        <v>2026-01</v>
      </c>
      <c r="N115">
        <f t="shared" si="5"/>
        <v>0.60333333333333339</v>
      </c>
    </row>
    <row r="116" spans="1:14">
      <c r="A116" t="s">
        <v>223</v>
      </c>
      <c r="B116" t="s">
        <v>113</v>
      </c>
      <c r="C116" t="s">
        <v>44</v>
      </c>
      <c r="D116" t="s">
        <v>55</v>
      </c>
      <c r="E116" s="1">
        <v>46109</v>
      </c>
      <c r="F116">
        <v>583</v>
      </c>
      <c r="G116" t="s">
        <v>41</v>
      </c>
      <c r="H116">
        <v>150</v>
      </c>
      <c r="I116">
        <v>94</v>
      </c>
      <c r="J116">
        <v>976557</v>
      </c>
      <c r="K116">
        <v>500772.02</v>
      </c>
      <c r="L116">
        <f t="shared" si="3"/>
        <v>475784.98</v>
      </c>
      <c r="M116" t="str">
        <f t="shared" si="4"/>
        <v>2026-03</v>
      </c>
      <c r="N116">
        <f t="shared" si="5"/>
        <v>0.62666666666666671</v>
      </c>
    </row>
    <row r="117" spans="1:14">
      <c r="A117" t="s">
        <v>224</v>
      </c>
      <c r="B117" t="s">
        <v>190</v>
      </c>
      <c r="C117" t="s">
        <v>44</v>
      </c>
      <c r="D117" t="s">
        <v>52</v>
      </c>
      <c r="E117" s="1">
        <v>46233</v>
      </c>
      <c r="F117">
        <v>411</v>
      </c>
      <c r="G117" t="s">
        <v>35</v>
      </c>
      <c r="H117">
        <v>150</v>
      </c>
      <c r="I117">
        <v>108</v>
      </c>
      <c r="J117">
        <v>1166822.0900000001</v>
      </c>
      <c r="K117">
        <v>337908.36</v>
      </c>
      <c r="L117">
        <f t="shared" si="3"/>
        <v>828913.7300000001</v>
      </c>
      <c r="M117" t="str">
        <f t="shared" si="4"/>
        <v>2026-07</v>
      </c>
      <c r="N117">
        <f t="shared" si="5"/>
        <v>0.72</v>
      </c>
    </row>
    <row r="118" spans="1:14">
      <c r="A118" t="s">
        <v>225</v>
      </c>
      <c r="B118" t="s">
        <v>226</v>
      </c>
      <c r="C118" t="s">
        <v>69</v>
      </c>
      <c r="D118" t="s">
        <v>55</v>
      </c>
      <c r="E118" s="1">
        <v>46181</v>
      </c>
      <c r="F118">
        <v>83</v>
      </c>
      <c r="G118" t="s">
        <v>35</v>
      </c>
      <c r="H118">
        <v>150</v>
      </c>
      <c r="I118">
        <v>53</v>
      </c>
      <c r="J118">
        <v>626682.79</v>
      </c>
      <c r="K118">
        <v>161104.76</v>
      </c>
      <c r="L118">
        <f t="shared" si="3"/>
        <v>465578.03</v>
      </c>
      <c r="M118" t="str">
        <f t="shared" si="4"/>
        <v>2026-06</v>
      </c>
      <c r="N118">
        <f t="shared" si="5"/>
        <v>0.35333333333333333</v>
      </c>
    </row>
    <row r="119" spans="1:14">
      <c r="A119" t="s">
        <v>227</v>
      </c>
      <c r="B119" t="s">
        <v>102</v>
      </c>
      <c r="C119" t="s">
        <v>45</v>
      </c>
      <c r="D119" t="s">
        <v>55</v>
      </c>
      <c r="E119" s="1">
        <v>46250</v>
      </c>
      <c r="F119">
        <v>394</v>
      </c>
      <c r="G119" t="s">
        <v>46</v>
      </c>
      <c r="H119">
        <v>300</v>
      </c>
      <c r="I119">
        <v>55</v>
      </c>
      <c r="J119">
        <v>597306.16</v>
      </c>
      <c r="K119">
        <v>620630.37</v>
      </c>
      <c r="L119">
        <f t="shared" si="3"/>
        <v>-23324.209999999963</v>
      </c>
      <c r="M119" t="str">
        <f t="shared" si="4"/>
        <v>2026-08</v>
      </c>
      <c r="N119">
        <f t="shared" si="5"/>
        <v>0.18333333333333332</v>
      </c>
    </row>
    <row r="120" spans="1:14">
      <c r="A120" t="s">
        <v>228</v>
      </c>
      <c r="B120" t="s">
        <v>77</v>
      </c>
      <c r="C120" t="s">
        <v>45</v>
      </c>
      <c r="D120" t="s">
        <v>29</v>
      </c>
      <c r="E120" s="1">
        <v>46247</v>
      </c>
      <c r="F120">
        <v>579</v>
      </c>
      <c r="G120" t="s">
        <v>35</v>
      </c>
      <c r="H120">
        <v>300</v>
      </c>
      <c r="I120">
        <v>271</v>
      </c>
      <c r="J120">
        <v>1397329.47</v>
      </c>
      <c r="K120">
        <v>535776.31000000006</v>
      </c>
      <c r="L120">
        <f t="shared" si="3"/>
        <v>861553.15999999992</v>
      </c>
      <c r="M120" t="str">
        <f t="shared" si="4"/>
        <v>2026-08</v>
      </c>
      <c r="N120">
        <f t="shared" si="5"/>
        <v>0.90333333333333332</v>
      </c>
    </row>
    <row r="121" spans="1:14">
      <c r="A121" t="s">
        <v>229</v>
      </c>
      <c r="B121" t="s">
        <v>230</v>
      </c>
      <c r="C121" t="s">
        <v>49</v>
      </c>
      <c r="D121" t="s">
        <v>34</v>
      </c>
      <c r="E121" s="1">
        <v>46133</v>
      </c>
      <c r="F121">
        <v>73</v>
      </c>
      <c r="G121" t="s">
        <v>35</v>
      </c>
      <c r="H121">
        <v>250</v>
      </c>
      <c r="I121">
        <v>133</v>
      </c>
      <c r="J121">
        <v>1345349.56</v>
      </c>
      <c r="K121">
        <v>169856.07</v>
      </c>
      <c r="L121">
        <f t="shared" si="3"/>
        <v>1175493.49</v>
      </c>
      <c r="M121" t="str">
        <f t="shared" si="4"/>
        <v>2026-04</v>
      </c>
      <c r="N121">
        <f t="shared" si="5"/>
        <v>0.53200000000000003</v>
      </c>
    </row>
    <row r="122" spans="1:14">
      <c r="A122" t="s">
        <v>231</v>
      </c>
      <c r="B122" t="s">
        <v>198</v>
      </c>
      <c r="C122" t="s">
        <v>45</v>
      </c>
      <c r="D122" t="s">
        <v>40</v>
      </c>
      <c r="E122" s="1">
        <v>46186</v>
      </c>
      <c r="F122">
        <v>360</v>
      </c>
      <c r="G122" t="s">
        <v>31</v>
      </c>
      <c r="H122">
        <v>250</v>
      </c>
      <c r="I122">
        <v>80</v>
      </c>
      <c r="J122">
        <v>466608.44</v>
      </c>
      <c r="K122">
        <v>323521.18</v>
      </c>
      <c r="L122">
        <f t="shared" si="3"/>
        <v>143087.26</v>
      </c>
      <c r="M122" t="str">
        <f t="shared" si="4"/>
        <v>2026-06</v>
      </c>
      <c r="N122">
        <f t="shared" si="5"/>
        <v>0.32</v>
      </c>
    </row>
    <row r="123" spans="1:14">
      <c r="A123" t="s">
        <v>232</v>
      </c>
      <c r="B123" t="s">
        <v>107</v>
      </c>
      <c r="C123" t="s">
        <v>30</v>
      </c>
      <c r="D123" t="s">
        <v>45</v>
      </c>
      <c r="E123" s="1">
        <v>46086</v>
      </c>
      <c r="F123">
        <v>343</v>
      </c>
      <c r="G123" t="s">
        <v>41</v>
      </c>
      <c r="H123">
        <v>250</v>
      </c>
      <c r="I123">
        <v>214</v>
      </c>
      <c r="J123">
        <v>1558087.91</v>
      </c>
      <c r="K123">
        <v>424596.21</v>
      </c>
      <c r="L123">
        <f t="shared" si="3"/>
        <v>1133491.7</v>
      </c>
      <c r="M123" t="str">
        <f t="shared" si="4"/>
        <v>2026-03</v>
      </c>
      <c r="N123">
        <f t="shared" si="5"/>
        <v>0.85599999999999998</v>
      </c>
    </row>
    <row r="124" spans="1:14">
      <c r="A124" t="s">
        <v>233</v>
      </c>
      <c r="B124" t="s">
        <v>75</v>
      </c>
      <c r="C124" t="s">
        <v>55</v>
      </c>
      <c r="D124" t="s">
        <v>30</v>
      </c>
      <c r="E124" s="1">
        <v>46152</v>
      </c>
      <c r="F124">
        <v>570</v>
      </c>
      <c r="G124" t="s">
        <v>41</v>
      </c>
      <c r="H124">
        <v>300</v>
      </c>
      <c r="I124">
        <v>75</v>
      </c>
      <c r="J124">
        <v>260409.19</v>
      </c>
      <c r="K124">
        <v>483721.86</v>
      </c>
      <c r="L124">
        <f t="shared" si="3"/>
        <v>-223312.66999999998</v>
      </c>
      <c r="M124" t="str">
        <f t="shared" si="4"/>
        <v>2026-05</v>
      </c>
      <c r="N124">
        <f t="shared" si="5"/>
        <v>0.25</v>
      </c>
    </row>
    <row r="125" spans="1:14">
      <c r="A125" t="s">
        <v>234</v>
      </c>
      <c r="B125" t="s">
        <v>186</v>
      </c>
      <c r="C125" t="s">
        <v>49</v>
      </c>
      <c r="D125" t="s">
        <v>30</v>
      </c>
      <c r="E125" s="1">
        <v>46034</v>
      </c>
      <c r="F125">
        <v>549</v>
      </c>
      <c r="G125" t="s">
        <v>35</v>
      </c>
      <c r="H125">
        <v>150</v>
      </c>
      <c r="I125">
        <v>137</v>
      </c>
      <c r="J125">
        <v>1538730.96</v>
      </c>
      <c r="K125">
        <v>356179.05</v>
      </c>
      <c r="L125">
        <f t="shared" si="3"/>
        <v>1182551.9099999999</v>
      </c>
      <c r="M125" t="str">
        <f t="shared" si="4"/>
        <v>2026-01</v>
      </c>
      <c r="N125">
        <f t="shared" si="5"/>
        <v>0.91333333333333333</v>
      </c>
    </row>
    <row r="126" spans="1:14">
      <c r="A126" t="s">
        <v>235</v>
      </c>
      <c r="B126" t="s">
        <v>86</v>
      </c>
      <c r="C126" t="s">
        <v>45</v>
      </c>
      <c r="D126" t="s">
        <v>49</v>
      </c>
      <c r="E126" s="1">
        <v>46173</v>
      </c>
      <c r="F126">
        <v>443</v>
      </c>
      <c r="G126" t="s">
        <v>46</v>
      </c>
      <c r="H126">
        <v>150</v>
      </c>
      <c r="I126">
        <v>101</v>
      </c>
      <c r="J126">
        <v>1157073.08</v>
      </c>
      <c r="K126">
        <v>359094.76</v>
      </c>
      <c r="L126">
        <f t="shared" si="3"/>
        <v>797978.32000000007</v>
      </c>
      <c r="M126" t="str">
        <f t="shared" si="4"/>
        <v>2026-05</v>
      </c>
      <c r="N126">
        <f t="shared" si="5"/>
        <v>0.67333333333333334</v>
      </c>
    </row>
    <row r="127" spans="1:14">
      <c r="A127" t="s">
        <v>236</v>
      </c>
      <c r="B127" t="s">
        <v>104</v>
      </c>
      <c r="C127" t="s">
        <v>34</v>
      </c>
      <c r="D127" t="s">
        <v>52</v>
      </c>
      <c r="E127" s="1">
        <v>46108</v>
      </c>
      <c r="F127">
        <v>234</v>
      </c>
      <c r="G127" t="s">
        <v>46</v>
      </c>
      <c r="H127">
        <v>150</v>
      </c>
      <c r="I127">
        <v>104</v>
      </c>
      <c r="J127">
        <v>1533331.85</v>
      </c>
      <c r="K127">
        <v>253309.81</v>
      </c>
      <c r="L127">
        <f t="shared" si="3"/>
        <v>1280022.04</v>
      </c>
      <c r="M127" t="str">
        <f t="shared" si="4"/>
        <v>2026-03</v>
      </c>
      <c r="N127">
        <f t="shared" si="5"/>
        <v>0.69333333333333336</v>
      </c>
    </row>
    <row r="128" spans="1:14">
      <c r="A128" t="s">
        <v>237</v>
      </c>
      <c r="B128" t="s">
        <v>159</v>
      </c>
      <c r="C128" t="s">
        <v>55</v>
      </c>
      <c r="D128" t="s">
        <v>45</v>
      </c>
      <c r="E128" s="1">
        <v>46311</v>
      </c>
      <c r="F128">
        <v>60</v>
      </c>
      <c r="G128" t="s">
        <v>31</v>
      </c>
      <c r="H128">
        <v>250</v>
      </c>
      <c r="I128">
        <v>191</v>
      </c>
      <c r="J128">
        <v>1475737.22</v>
      </c>
      <c r="K128">
        <v>182351.79</v>
      </c>
      <c r="L128">
        <f t="shared" si="3"/>
        <v>1293385.43</v>
      </c>
      <c r="M128" t="str">
        <f t="shared" si="4"/>
        <v>2026-10</v>
      </c>
      <c r="N128">
        <f t="shared" si="5"/>
        <v>0.76400000000000001</v>
      </c>
    </row>
    <row r="129" spans="1:14">
      <c r="A129" t="s">
        <v>238</v>
      </c>
      <c r="B129" t="s">
        <v>169</v>
      </c>
      <c r="C129" t="s">
        <v>34</v>
      </c>
      <c r="D129" t="s">
        <v>40</v>
      </c>
      <c r="E129" s="1">
        <v>46291</v>
      </c>
      <c r="F129">
        <v>218</v>
      </c>
      <c r="G129" t="s">
        <v>41</v>
      </c>
      <c r="H129">
        <v>250</v>
      </c>
      <c r="I129">
        <v>117</v>
      </c>
      <c r="J129">
        <v>1264318.3500000001</v>
      </c>
      <c r="K129">
        <v>350768.13</v>
      </c>
      <c r="L129">
        <f t="shared" si="3"/>
        <v>913550.22000000009</v>
      </c>
      <c r="M129" t="str">
        <f t="shared" si="4"/>
        <v>2026-09</v>
      </c>
      <c r="N129">
        <f t="shared" si="5"/>
        <v>0.46800000000000003</v>
      </c>
    </row>
    <row r="130" spans="1:14">
      <c r="A130" t="s">
        <v>239</v>
      </c>
      <c r="B130" t="s">
        <v>240</v>
      </c>
      <c r="C130" t="s">
        <v>55</v>
      </c>
      <c r="D130" t="s">
        <v>40</v>
      </c>
      <c r="E130" s="1">
        <v>46151</v>
      </c>
      <c r="F130">
        <v>403</v>
      </c>
      <c r="G130" t="s">
        <v>46</v>
      </c>
      <c r="H130">
        <v>180</v>
      </c>
      <c r="I130">
        <v>138</v>
      </c>
      <c r="J130">
        <v>957799.31</v>
      </c>
      <c r="K130">
        <v>469281.89</v>
      </c>
      <c r="L130">
        <f t="shared" si="3"/>
        <v>488517.42000000004</v>
      </c>
      <c r="M130" t="str">
        <f t="shared" si="4"/>
        <v>2026-05</v>
      </c>
      <c r="N130">
        <f t="shared" si="5"/>
        <v>0.76666666666666672</v>
      </c>
    </row>
    <row r="131" spans="1:14">
      <c r="A131" t="s">
        <v>241</v>
      </c>
      <c r="B131" t="s">
        <v>109</v>
      </c>
      <c r="C131" t="s">
        <v>30</v>
      </c>
      <c r="D131" t="s">
        <v>52</v>
      </c>
      <c r="E131" s="1">
        <v>46246</v>
      </c>
      <c r="F131">
        <v>556</v>
      </c>
      <c r="G131" t="s">
        <v>31</v>
      </c>
      <c r="H131">
        <v>300</v>
      </c>
      <c r="I131">
        <v>151</v>
      </c>
      <c r="J131">
        <v>585631.01</v>
      </c>
      <c r="K131">
        <v>662862.18999999994</v>
      </c>
      <c r="L131">
        <f t="shared" ref="L131:L194" si="6">J131-K131</f>
        <v>-77231.179999999935</v>
      </c>
      <c r="M131" t="str">
        <f t="shared" ref="M131:M194" si="7">TEXT(E131,"YYYY-MM")</f>
        <v>2026-08</v>
      </c>
      <c r="N131">
        <f t="shared" ref="N131:N194" si="8">I131/H131</f>
        <v>0.5033333333333333</v>
      </c>
    </row>
    <row r="132" spans="1:14">
      <c r="A132" t="s">
        <v>242</v>
      </c>
      <c r="B132" t="s">
        <v>198</v>
      </c>
      <c r="C132" t="s">
        <v>45</v>
      </c>
      <c r="D132" t="s">
        <v>40</v>
      </c>
      <c r="E132" s="1">
        <v>46139</v>
      </c>
      <c r="F132">
        <v>280</v>
      </c>
      <c r="G132" t="s">
        <v>46</v>
      </c>
      <c r="H132">
        <v>150</v>
      </c>
      <c r="I132">
        <v>61</v>
      </c>
      <c r="J132">
        <v>292062.03999999998</v>
      </c>
      <c r="K132">
        <v>318218.26</v>
      </c>
      <c r="L132">
        <f t="shared" si="6"/>
        <v>-26156.22000000003</v>
      </c>
      <c r="M132" t="str">
        <f t="shared" si="7"/>
        <v>2026-04</v>
      </c>
      <c r="N132">
        <f t="shared" si="8"/>
        <v>0.40666666666666668</v>
      </c>
    </row>
    <row r="133" spans="1:14">
      <c r="A133" t="s">
        <v>243</v>
      </c>
      <c r="B133" t="s">
        <v>184</v>
      </c>
      <c r="C133" t="s">
        <v>29</v>
      </c>
      <c r="D133" t="s">
        <v>44</v>
      </c>
      <c r="E133" s="1">
        <v>46043</v>
      </c>
      <c r="F133">
        <v>466</v>
      </c>
      <c r="G133" t="s">
        <v>31</v>
      </c>
      <c r="H133">
        <v>250</v>
      </c>
      <c r="I133">
        <v>129</v>
      </c>
      <c r="J133">
        <v>1389290.86</v>
      </c>
      <c r="K133">
        <v>650937.56999999995</v>
      </c>
      <c r="L133">
        <f t="shared" si="6"/>
        <v>738353.29000000015</v>
      </c>
      <c r="M133" t="str">
        <f t="shared" si="7"/>
        <v>2026-01</v>
      </c>
      <c r="N133">
        <f t="shared" si="8"/>
        <v>0.51600000000000001</v>
      </c>
    </row>
    <row r="134" spans="1:14">
      <c r="A134" t="s">
        <v>244</v>
      </c>
      <c r="B134" t="s">
        <v>157</v>
      </c>
      <c r="C134" t="s">
        <v>45</v>
      </c>
      <c r="D134" t="s">
        <v>52</v>
      </c>
      <c r="E134" s="1">
        <v>46312</v>
      </c>
      <c r="F134">
        <v>393</v>
      </c>
      <c r="G134" t="s">
        <v>41</v>
      </c>
      <c r="H134">
        <v>300</v>
      </c>
      <c r="I134">
        <v>289</v>
      </c>
      <c r="J134">
        <v>2681057.8199999998</v>
      </c>
      <c r="K134">
        <v>530843.42000000004</v>
      </c>
      <c r="L134">
        <f t="shared" si="6"/>
        <v>2150214.4</v>
      </c>
      <c r="M134" t="str">
        <f t="shared" si="7"/>
        <v>2026-10</v>
      </c>
      <c r="N134">
        <f t="shared" si="8"/>
        <v>0.96333333333333337</v>
      </c>
    </row>
    <row r="135" spans="1:14">
      <c r="A135" t="s">
        <v>245</v>
      </c>
      <c r="B135" t="s">
        <v>246</v>
      </c>
      <c r="C135" t="s">
        <v>52</v>
      </c>
      <c r="D135" t="s">
        <v>69</v>
      </c>
      <c r="E135" s="1">
        <v>46154</v>
      </c>
      <c r="F135">
        <v>149</v>
      </c>
      <c r="G135" t="s">
        <v>41</v>
      </c>
      <c r="H135">
        <v>180</v>
      </c>
      <c r="I135">
        <v>56</v>
      </c>
      <c r="J135">
        <v>625711.19999999995</v>
      </c>
      <c r="K135">
        <v>183424.02</v>
      </c>
      <c r="L135">
        <f t="shared" si="6"/>
        <v>442287.17999999993</v>
      </c>
      <c r="M135" t="str">
        <f t="shared" si="7"/>
        <v>2026-05</v>
      </c>
      <c r="N135">
        <f t="shared" si="8"/>
        <v>0.31111111111111112</v>
      </c>
    </row>
    <row r="136" spans="1:14">
      <c r="A136" t="s">
        <v>247</v>
      </c>
      <c r="B136" t="s">
        <v>165</v>
      </c>
      <c r="C136" t="s">
        <v>34</v>
      </c>
      <c r="D136" t="s">
        <v>29</v>
      </c>
      <c r="E136" s="1">
        <v>46194</v>
      </c>
      <c r="F136">
        <v>435</v>
      </c>
      <c r="G136" t="s">
        <v>41</v>
      </c>
      <c r="H136">
        <v>180</v>
      </c>
      <c r="I136">
        <v>96</v>
      </c>
      <c r="J136">
        <v>1384016.65</v>
      </c>
      <c r="K136">
        <v>490690.8</v>
      </c>
      <c r="L136">
        <f t="shared" si="6"/>
        <v>893325.84999999986</v>
      </c>
      <c r="M136" t="str">
        <f t="shared" si="7"/>
        <v>2026-06</v>
      </c>
      <c r="N136">
        <f t="shared" si="8"/>
        <v>0.53333333333333333</v>
      </c>
    </row>
    <row r="137" spans="1:14">
      <c r="A137" t="s">
        <v>248</v>
      </c>
      <c r="B137" t="s">
        <v>77</v>
      </c>
      <c r="C137" t="s">
        <v>45</v>
      </c>
      <c r="D137" t="s">
        <v>29</v>
      </c>
      <c r="E137" s="1">
        <v>46143</v>
      </c>
      <c r="F137">
        <v>211</v>
      </c>
      <c r="G137" t="s">
        <v>35</v>
      </c>
      <c r="H137">
        <v>150</v>
      </c>
      <c r="I137">
        <v>75</v>
      </c>
      <c r="J137">
        <v>455080.5</v>
      </c>
      <c r="K137">
        <v>225114.34</v>
      </c>
      <c r="L137">
        <f t="shared" si="6"/>
        <v>229966.16</v>
      </c>
      <c r="M137" t="str">
        <f t="shared" si="7"/>
        <v>2026-05</v>
      </c>
      <c r="N137">
        <f t="shared" si="8"/>
        <v>0.5</v>
      </c>
    </row>
    <row r="138" spans="1:14">
      <c r="A138" t="s">
        <v>249</v>
      </c>
      <c r="B138" t="s">
        <v>159</v>
      </c>
      <c r="C138" t="s">
        <v>55</v>
      </c>
      <c r="D138" t="s">
        <v>45</v>
      </c>
      <c r="E138" s="1">
        <v>46264</v>
      </c>
      <c r="F138">
        <v>542</v>
      </c>
      <c r="G138" t="s">
        <v>35</v>
      </c>
      <c r="H138">
        <v>180</v>
      </c>
      <c r="I138">
        <v>168</v>
      </c>
      <c r="J138">
        <v>1583281.93</v>
      </c>
      <c r="K138">
        <v>428702.4</v>
      </c>
      <c r="L138">
        <f t="shared" si="6"/>
        <v>1154579.5299999998</v>
      </c>
      <c r="M138" t="str">
        <f t="shared" si="7"/>
        <v>2026-08</v>
      </c>
      <c r="N138">
        <f t="shared" si="8"/>
        <v>0.93333333333333335</v>
      </c>
    </row>
    <row r="139" spans="1:14">
      <c r="A139" t="s">
        <v>250</v>
      </c>
      <c r="B139" t="s">
        <v>62</v>
      </c>
      <c r="C139" t="s">
        <v>52</v>
      </c>
      <c r="D139" t="s">
        <v>40</v>
      </c>
      <c r="E139" s="1">
        <v>46276</v>
      </c>
      <c r="F139">
        <v>379</v>
      </c>
      <c r="G139" t="s">
        <v>31</v>
      </c>
      <c r="H139">
        <v>250</v>
      </c>
      <c r="I139">
        <v>134</v>
      </c>
      <c r="J139">
        <v>1488752.72</v>
      </c>
      <c r="K139">
        <v>431952.81</v>
      </c>
      <c r="L139">
        <f t="shared" si="6"/>
        <v>1056799.9099999999</v>
      </c>
      <c r="M139" t="str">
        <f t="shared" si="7"/>
        <v>2026-09</v>
      </c>
      <c r="N139">
        <f t="shared" si="8"/>
        <v>0.53600000000000003</v>
      </c>
    </row>
    <row r="140" spans="1:14">
      <c r="A140" t="s">
        <v>251</v>
      </c>
      <c r="B140" t="s">
        <v>127</v>
      </c>
      <c r="C140" t="s">
        <v>40</v>
      </c>
      <c r="D140" t="s">
        <v>55</v>
      </c>
      <c r="E140" s="1">
        <v>46064</v>
      </c>
      <c r="F140">
        <v>347</v>
      </c>
      <c r="G140" t="s">
        <v>31</v>
      </c>
      <c r="H140">
        <v>150</v>
      </c>
      <c r="I140">
        <v>85</v>
      </c>
      <c r="J140">
        <v>342371.41</v>
      </c>
      <c r="K140">
        <v>465698.96</v>
      </c>
      <c r="L140">
        <f t="shared" si="6"/>
        <v>-123327.55000000005</v>
      </c>
      <c r="M140" t="str">
        <f t="shared" si="7"/>
        <v>2026-02</v>
      </c>
      <c r="N140">
        <f t="shared" si="8"/>
        <v>0.56666666666666665</v>
      </c>
    </row>
    <row r="141" spans="1:14">
      <c r="A141" t="s">
        <v>252</v>
      </c>
      <c r="B141" t="s">
        <v>135</v>
      </c>
      <c r="C141" t="s">
        <v>30</v>
      </c>
      <c r="D141" t="s">
        <v>49</v>
      </c>
      <c r="E141" s="1">
        <v>46152</v>
      </c>
      <c r="F141">
        <v>576</v>
      </c>
      <c r="G141" t="s">
        <v>35</v>
      </c>
      <c r="H141">
        <v>250</v>
      </c>
      <c r="I141">
        <v>209</v>
      </c>
      <c r="J141">
        <v>1981349.88</v>
      </c>
      <c r="K141">
        <v>767847.89</v>
      </c>
      <c r="L141">
        <f t="shared" si="6"/>
        <v>1213501.9899999998</v>
      </c>
      <c r="M141" t="str">
        <f t="shared" si="7"/>
        <v>2026-05</v>
      </c>
      <c r="N141">
        <f t="shared" si="8"/>
        <v>0.83599999999999997</v>
      </c>
    </row>
    <row r="142" spans="1:14">
      <c r="A142" t="s">
        <v>253</v>
      </c>
      <c r="B142" t="s">
        <v>43</v>
      </c>
      <c r="C142" t="s">
        <v>44</v>
      </c>
      <c r="D142" t="s">
        <v>45</v>
      </c>
      <c r="E142" s="1">
        <v>46152</v>
      </c>
      <c r="F142">
        <v>231</v>
      </c>
      <c r="G142" t="s">
        <v>46</v>
      </c>
      <c r="H142">
        <v>180</v>
      </c>
      <c r="I142">
        <v>84</v>
      </c>
      <c r="J142">
        <v>988495.71</v>
      </c>
      <c r="K142">
        <v>280723.75</v>
      </c>
      <c r="L142">
        <f t="shared" si="6"/>
        <v>707771.96</v>
      </c>
      <c r="M142" t="str">
        <f t="shared" si="7"/>
        <v>2026-05</v>
      </c>
      <c r="N142">
        <f t="shared" si="8"/>
        <v>0.46666666666666667</v>
      </c>
    </row>
    <row r="143" spans="1:14">
      <c r="A143" t="s">
        <v>254</v>
      </c>
      <c r="B143" t="s">
        <v>182</v>
      </c>
      <c r="C143" t="s">
        <v>45</v>
      </c>
      <c r="D143" t="s">
        <v>34</v>
      </c>
      <c r="E143" s="1">
        <v>46230</v>
      </c>
      <c r="F143">
        <v>505</v>
      </c>
      <c r="G143" t="s">
        <v>46</v>
      </c>
      <c r="H143">
        <v>150</v>
      </c>
      <c r="I143">
        <v>104</v>
      </c>
      <c r="J143">
        <v>1255691.83</v>
      </c>
      <c r="K143">
        <v>450366.53</v>
      </c>
      <c r="L143">
        <f t="shared" si="6"/>
        <v>805325.3</v>
      </c>
      <c r="M143" t="str">
        <f t="shared" si="7"/>
        <v>2026-07</v>
      </c>
      <c r="N143">
        <f t="shared" si="8"/>
        <v>0.69333333333333336</v>
      </c>
    </row>
    <row r="144" spans="1:14">
      <c r="A144" t="s">
        <v>255</v>
      </c>
      <c r="B144" t="s">
        <v>256</v>
      </c>
      <c r="C144" t="s">
        <v>45</v>
      </c>
      <c r="D144" t="s">
        <v>44</v>
      </c>
      <c r="E144" s="1">
        <v>46270</v>
      </c>
      <c r="F144">
        <v>423</v>
      </c>
      <c r="G144" t="s">
        <v>41</v>
      </c>
      <c r="H144">
        <v>150</v>
      </c>
      <c r="I144">
        <v>79</v>
      </c>
      <c r="J144">
        <v>730868.16</v>
      </c>
      <c r="K144">
        <v>471143.72</v>
      </c>
      <c r="L144">
        <f t="shared" si="6"/>
        <v>259724.44000000006</v>
      </c>
      <c r="M144" t="str">
        <f t="shared" si="7"/>
        <v>2026-09</v>
      </c>
      <c r="N144">
        <f t="shared" si="8"/>
        <v>0.52666666666666662</v>
      </c>
    </row>
    <row r="145" spans="1:14">
      <c r="A145" t="s">
        <v>257</v>
      </c>
      <c r="B145" t="s">
        <v>165</v>
      </c>
      <c r="C145" t="s">
        <v>34</v>
      </c>
      <c r="D145" t="s">
        <v>29</v>
      </c>
      <c r="E145" s="1">
        <v>46164</v>
      </c>
      <c r="F145">
        <v>540</v>
      </c>
      <c r="G145" t="s">
        <v>31</v>
      </c>
      <c r="H145">
        <v>180</v>
      </c>
      <c r="I145">
        <v>115</v>
      </c>
      <c r="J145">
        <v>870655.15</v>
      </c>
      <c r="K145">
        <v>490909.63</v>
      </c>
      <c r="L145">
        <f t="shared" si="6"/>
        <v>379745.52</v>
      </c>
      <c r="M145" t="str">
        <f t="shared" si="7"/>
        <v>2026-05</v>
      </c>
      <c r="N145">
        <f t="shared" si="8"/>
        <v>0.63888888888888884</v>
      </c>
    </row>
    <row r="146" spans="1:14">
      <c r="A146" t="s">
        <v>258</v>
      </c>
      <c r="B146" t="s">
        <v>127</v>
      </c>
      <c r="C146" t="s">
        <v>40</v>
      </c>
      <c r="D146" t="s">
        <v>55</v>
      </c>
      <c r="E146" s="1">
        <v>46218</v>
      </c>
      <c r="F146">
        <v>525</v>
      </c>
      <c r="G146" t="s">
        <v>31</v>
      </c>
      <c r="H146">
        <v>180</v>
      </c>
      <c r="I146">
        <v>135</v>
      </c>
      <c r="J146">
        <v>1322852.0900000001</v>
      </c>
      <c r="K146">
        <v>496208.22</v>
      </c>
      <c r="L146">
        <f t="shared" si="6"/>
        <v>826643.87000000011</v>
      </c>
      <c r="M146" t="str">
        <f t="shared" si="7"/>
        <v>2026-07</v>
      </c>
      <c r="N146">
        <f t="shared" si="8"/>
        <v>0.75</v>
      </c>
    </row>
    <row r="147" spans="1:14">
      <c r="A147" t="s">
        <v>259</v>
      </c>
      <c r="B147" t="s">
        <v>260</v>
      </c>
      <c r="C147" t="s">
        <v>69</v>
      </c>
      <c r="D147" t="s">
        <v>29</v>
      </c>
      <c r="E147" s="1">
        <v>46089</v>
      </c>
      <c r="F147">
        <v>66</v>
      </c>
      <c r="G147" t="s">
        <v>35</v>
      </c>
      <c r="H147">
        <v>180</v>
      </c>
      <c r="I147">
        <v>122</v>
      </c>
      <c r="J147">
        <v>838180.96</v>
      </c>
      <c r="K147">
        <v>124057.69</v>
      </c>
      <c r="L147">
        <f t="shared" si="6"/>
        <v>714123.27</v>
      </c>
      <c r="M147" t="str">
        <f t="shared" si="7"/>
        <v>2026-03</v>
      </c>
      <c r="N147">
        <f t="shared" si="8"/>
        <v>0.67777777777777781</v>
      </c>
    </row>
    <row r="148" spans="1:14">
      <c r="A148" t="s">
        <v>261</v>
      </c>
      <c r="B148" t="s">
        <v>184</v>
      </c>
      <c r="C148" t="s">
        <v>29</v>
      </c>
      <c r="D148" t="s">
        <v>44</v>
      </c>
      <c r="E148" s="1">
        <v>46303</v>
      </c>
      <c r="F148">
        <v>312</v>
      </c>
      <c r="G148" t="s">
        <v>46</v>
      </c>
      <c r="H148">
        <v>150</v>
      </c>
      <c r="I148">
        <v>85</v>
      </c>
      <c r="J148">
        <v>873498.36</v>
      </c>
      <c r="K148">
        <v>261400.85</v>
      </c>
      <c r="L148">
        <f t="shared" si="6"/>
        <v>612097.51</v>
      </c>
      <c r="M148" t="str">
        <f t="shared" si="7"/>
        <v>2026-10</v>
      </c>
      <c r="N148">
        <f t="shared" si="8"/>
        <v>0.56666666666666665</v>
      </c>
    </row>
    <row r="149" spans="1:14">
      <c r="A149" t="s">
        <v>262</v>
      </c>
      <c r="B149" t="s">
        <v>129</v>
      </c>
      <c r="C149" t="s">
        <v>45</v>
      </c>
      <c r="D149" t="s">
        <v>30</v>
      </c>
      <c r="E149" s="1">
        <v>46047</v>
      </c>
      <c r="F149">
        <v>138</v>
      </c>
      <c r="G149" t="s">
        <v>35</v>
      </c>
      <c r="H149">
        <v>150</v>
      </c>
      <c r="I149">
        <v>109</v>
      </c>
      <c r="J149">
        <v>1342954.51</v>
      </c>
      <c r="K149">
        <v>155788.59</v>
      </c>
      <c r="L149">
        <f t="shared" si="6"/>
        <v>1187165.92</v>
      </c>
      <c r="M149" t="str">
        <f t="shared" si="7"/>
        <v>2026-01</v>
      </c>
      <c r="N149">
        <f t="shared" si="8"/>
        <v>0.72666666666666668</v>
      </c>
    </row>
    <row r="150" spans="1:14">
      <c r="A150" t="s">
        <v>263</v>
      </c>
      <c r="B150" t="s">
        <v>43</v>
      </c>
      <c r="C150" t="s">
        <v>44</v>
      </c>
      <c r="D150" t="s">
        <v>45</v>
      </c>
      <c r="E150" s="1">
        <v>46082</v>
      </c>
      <c r="F150">
        <v>526</v>
      </c>
      <c r="G150" t="s">
        <v>31</v>
      </c>
      <c r="H150">
        <v>250</v>
      </c>
      <c r="I150">
        <v>54</v>
      </c>
      <c r="J150">
        <v>667933.51</v>
      </c>
      <c r="K150">
        <v>557298.52</v>
      </c>
      <c r="L150">
        <f t="shared" si="6"/>
        <v>110634.98999999999</v>
      </c>
      <c r="M150" t="str">
        <f t="shared" si="7"/>
        <v>2026-03</v>
      </c>
      <c r="N150">
        <f t="shared" si="8"/>
        <v>0.216</v>
      </c>
    </row>
    <row r="151" spans="1:14">
      <c r="A151" t="s">
        <v>264</v>
      </c>
      <c r="B151" t="s">
        <v>147</v>
      </c>
      <c r="C151" t="s">
        <v>29</v>
      </c>
      <c r="D151" t="s">
        <v>49</v>
      </c>
      <c r="E151" s="1">
        <v>46178</v>
      </c>
      <c r="F151">
        <v>249</v>
      </c>
      <c r="G151" t="s">
        <v>46</v>
      </c>
      <c r="H151">
        <v>250</v>
      </c>
      <c r="I151">
        <v>56</v>
      </c>
      <c r="J151">
        <v>633132.42000000004</v>
      </c>
      <c r="K151">
        <v>260357.46</v>
      </c>
      <c r="L151">
        <f t="shared" si="6"/>
        <v>372774.96000000008</v>
      </c>
      <c r="M151" t="str">
        <f t="shared" si="7"/>
        <v>2026-06</v>
      </c>
      <c r="N151">
        <f t="shared" si="8"/>
        <v>0.224</v>
      </c>
    </row>
    <row r="152" spans="1:14">
      <c r="A152" t="s">
        <v>265</v>
      </c>
      <c r="B152" t="s">
        <v>94</v>
      </c>
      <c r="C152" t="s">
        <v>34</v>
      </c>
      <c r="D152" t="s">
        <v>30</v>
      </c>
      <c r="E152" s="1">
        <v>46146</v>
      </c>
      <c r="F152">
        <v>481</v>
      </c>
      <c r="G152" t="s">
        <v>31</v>
      </c>
      <c r="H152">
        <v>180</v>
      </c>
      <c r="I152">
        <v>112</v>
      </c>
      <c r="J152">
        <v>1400573.84</v>
      </c>
      <c r="K152">
        <v>466795.63</v>
      </c>
      <c r="L152">
        <f t="shared" si="6"/>
        <v>933778.21000000008</v>
      </c>
      <c r="M152" t="str">
        <f t="shared" si="7"/>
        <v>2026-05</v>
      </c>
      <c r="N152">
        <f t="shared" si="8"/>
        <v>0.62222222222222223</v>
      </c>
    </row>
    <row r="153" spans="1:14">
      <c r="A153" t="s">
        <v>266</v>
      </c>
      <c r="B153" t="s">
        <v>175</v>
      </c>
      <c r="C153" t="s">
        <v>40</v>
      </c>
      <c r="D153" t="s">
        <v>29</v>
      </c>
      <c r="E153" s="1">
        <v>46205</v>
      </c>
      <c r="F153">
        <v>445</v>
      </c>
      <c r="G153" t="s">
        <v>46</v>
      </c>
      <c r="H153">
        <v>250</v>
      </c>
      <c r="I153">
        <v>198</v>
      </c>
      <c r="J153">
        <v>639600.85</v>
      </c>
      <c r="K153">
        <v>428431.81</v>
      </c>
      <c r="L153">
        <f t="shared" si="6"/>
        <v>211169.03999999998</v>
      </c>
      <c r="M153" t="str">
        <f t="shared" si="7"/>
        <v>2026-07</v>
      </c>
      <c r="N153">
        <f t="shared" si="8"/>
        <v>0.79200000000000004</v>
      </c>
    </row>
    <row r="154" spans="1:14">
      <c r="A154" t="s">
        <v>267</v>
      </c>
      <c r="B154" t="s">
        <v>169</v>
      </c>
      <c r="C154" t="s">
        <v>34</v>
      </c>
      <c r="D154" t="s">
        <v>40</v>
      </c>
      <c r="E154" s="1">
        <v>46264</v>
      </c>
      <c r="F154">
        <v>552</v>
      </c>
      <c r="G154" t="s">
        <v>41</v>
      </c>
      <c r="H154">
        <v>150</v>
      </c>
      <c r="I154">
        <v>131</v>
      </c>
      <c r="J154">
        <v>494577.42</v>
      </c>
      <c r="K154">
        <v>367473.47</v>
      </c>
      <c r="L154">
        <f t="shared" si="6"/>
        <v>127103.95000000001</v>
      </c>
      <c r="M154" t="str">
        <f t="shared" si="7"/>
        <v>2026-08</v>
      </c>
      <c r="N154">
        <f t="shared" si="8"/>
        <v>0.87333333333333329</v>
      </c>
    </row>
    <row r="155" spans="1:14">
      <c r="A155" t="s">
        <v>268</v>
      </c>
      <c r="B155" t="s">
        <v>83</v>
      </c>
      <c r="C155" t="s">
        <v>30</v>
      </c>
      <c r="D155" t="s">
        <v>40</v>
      </c>
      <c r="E155" s="1">
        <v>46304</v>
      </c>
      <c r="F155">
        <v>569</v>
      </c>
      <c r="G155" t="s">
        <v>35</v>
      </c>
      <c r="H155">
        <v>180</v>
      </c>
      <c r="I155">
        <v>101</v>
      </c>
      <c r="J155">
        <v>598095.30000000005</v>
      </c>
      <c r="K155">
        <v>634076.35</v>
      </c>
      <c r="L155">
        <f t="shared" si="6"/>
        <v>-35981.04999999993</v>
      </c>
      <c r="M155" t="str">
        <f t="shared" si="7"/>
        <v>2026-10</v>
      </c>
      <c r="N155">
        <f t="shared" si="8"/>
        <v>0.56111111111111112</v>
      </c>
    </row>
    <row r="156" spans="1:14">
      <c r="A156" t="s">
        <v>269</v>
      </c>
      <c r="B156" t="s">
        <v>68</v>
      </c>
      <c r="C156" t="s">
        <v>69</v>
      </c>
      <c r="D156" t="s">
        <v>45</v>
      </c>
      <c r="E156" s="1">
        <v>46135</v>
      </c>
      <c r="F156">
        <v>164</v>
      </c>
      <c r="G156" t="s">
        <v>35</v>
      </c>
      <c r="H156">
        <v>150</v>
      </c>
      <c r="I156">
        <v>58</v>
      </c>
      <c r="J156">
        <v>830210.47</v>
      </c>
      <c r="K156">
        <v>249859.82</v>
      </c>
      <c r="L156">
        <f t="shared" si="6"/>
        <v>580350.64999999991</v>
      </c>
      <c r="M156" t="str">
        <f t="shared" si="7"/>
        <v>2026-04</v>
      </c>
      <c r="N156">
        <f t="shared" si="8"/>
        <v>0.38666666666666666</v>
      </c>
    </row>
    <row r="157" spans="1:14">
      <c r="A157" t="s">
        <v>270</v>
      </c>
      <c r="B157" t="s">
        <v>153</v>
      </c>
      <c r="C157" t="s">
        <v>69</v>
      </c>
      <c r="D157" t="s">
        <v>40</v>
      </c>
      <c r="E157" s="1">
        <v>46286</v>
      </c>
      <c r="F157">
        <v>259</v>
      </c>
      <c r="G157" t="s">
        <v>41</v>
      </c>
      <c r="H157">
        <v>250</v>
      </c>
      <c r="I157">
        <v>194</v>
      </c>
      <c r="J157">
        <v>737165.95</v>
      </c>
      <c r="K157">
        <v>348487.37</v>
      </c>
      <c r="L157">
        <f t="shared" si="6"/>
        <v>388678.57999999996</v>
      </c>
      <c r="M157" t="str">
        <f t="shared" si="7"/>
        <v>2026-09</v>
      </c>
      <c r="N157">
        <f t="shared" si="8"/>
        <v>0.77600000000000002</v>
      </c>
    </row>
    <row r="158" spans="1:14">
      <c r="A158" t="s">
        <v>271</v>
      </c>
      <c r="B158" t="s">
        <v>96</v>
      </c>
      <c r="C158" t="s">
        <v>69</v>
      </c>
      <c r="D158" t="s">
        <v>30</v>
      </c>
      <c r="E158" s="1">
        <v>46109</v>
      </c>
      <c r="F158">
        <v>102</v>
      </c>
      <c r="G158" t="s">
        <v>41</v>
      </c>
      <c r="H158">
        <v>150</v>
      </c>
      <c r="I158">
        <v>100</v>
      </c>
      <c r="J158">
        <v>385508.07</v>
      </c>
      <c r="K158">
        <v>126864.55</v>
      </c>
      <c r="L158">
        <f t="shared" si="6"/>
        <v>258643.52000000002</v>
      </c>
      <c r="M158" t="str">
        <f t="shared" si="7"/>
        <v>2026-03</v>
      </c>
      <c r="N158">
        <f t="shared" si="8"/>
        <v>0.66666666666666663</v>
      </c>
    </row>
    <row r="159" spans="1:14">
      <c r="A159" t="s">
        <v>272</v>
      </c>
      <c r="B159" t="s">
        <v>256</v>
      </c>
      <c r="C159" t="s">
        <v>45</v>
      </c>
      <c r="D159" t="s">
        <v>44</v>
      </c>
      <c r="E159" s="1">
        <v>46050</v>
      </c>
      <c r="F159">
        <v>550</v>
      </c>
      <c r="G159" t="s">
        <v>46</v>
      </c>
      <c r="H159">
        <v>150</v>
      </c>
      <c r="I159">
        <v>54</v>
      </c>
      <c r="J159">
        <v>589876.16</v>
      </c>
      <c r="K159">
        <v>644283.47</v>
      </c>
      <c r="L159">
        <f t="shared" si="6"/>
        <v>-54407.309999999939</v>
      </c>
      <c r="M159" t="str">
        <f t="shared" si="7"/>
        <v>2026-01</v>
      </c>
      <c r="N159">
        <f t="shared" si="8"/>
        <v>0.36</v>
      </c>
    </row>
    <row r="160" spans="1:14">
      <c r="A160" t="s">
        <v>273</v>
      </c>
      <c r="B160" t="s">
        <v>169</v>
      </c>
      <c r="C160" t="s">
        <v>34</v>
      </c>
      <c r="D160" t="s">
        <v>40</v>
      </c>
      <c r="E160" s="1">
        <v>46071</v>
      </c>
      <c r="F160">
        <v>441</v>
      </c>
      <c r="G160" t="s">
        <v>35</v>
      </c>
      <c r="H160">
        <v>180</v>
      </c>
      <c r="I160">
        <v>154</v>
      </c>
      <c r="J160">
        <v>1651935.06</v>
      </c>
      <c r="K160">
        <v>474204.27</v>
      </c>
      <c r="L160">
        <f t="shared" si="6"/>
        <v>1177730.79</v>
      </c>
      <c r="M160" t="str">
        <f t="shared" si="7"/>
        <v>2026-02</v>
      </c>
      <c r="N160">
        <f t="shared" si="8"/>
        <v>0.85555555555555551</v>
      </c>
    </row>
    <row r="161" spans="1:14">
      <c r="A161" t="s">
        <v>274</v>
      </c>
      <c r="B161" t="s">
        <v>157</v>
      </c>
      <c r="C161" t="s">
        <v>45</v>
      </c>
      <c r="D161" t="s">
        <v>52</v>
      </c>
      <c r="E161" s="1">
        <v>46182</v>
      </c>
      <c r="F161">
        <v>410</v>
      </c>
      <c r="G161" t="s">
        <v>35</v>
      </c>
      <c r="H161">
        <v>300</v>
      </c>
      <c r="I161">
        <v>81</v>
      </c>
      <c r="J161">
        <v>881097.21</v>
      </c>
      <c r="K161">
        <v>391763.48</v>
      </c>
      <c r="L161">
        <f t="shared" si="6"/>
        <v>489333.73</v>
      </c>
      <c r="M161" t="str">
        <f t="shared" si="7"/>
        <v>2026-06</v>
      </c>
      <c r="N161">
        <f t="shared" si="8"/>
        <v>0.27</v>
      </c>
    </row>
    <row r="162" spans="1:14">
      <c r="A162" t="s">
        <v>275</v>
      </c>
      <c r="B162" t="s">
        <v>218</v>
      </c>
      <c r="C162" t="s">
        <v>55</v>
      </c>
      <c r="D162" t="s">
        <v>29</v>
      </c>
      <c r="E162" s="1">
        <v>46146</v>
      </c>
      <c r="F162">
        <v>473</v>
      </c>
      <c r="G162" t="s">
        <v>35</v>
      </c>
      <c r="H162">
        <v>150</v>
      </c>
      <c r="I162">
        <v>93</v>
      </c>
      <c r="J162">
        <v>499377.07</v>
      </c>
      <c r="K162">
        <v>605160.82999999996</v>
      </c>
      <c r="L162">
        <f t="shared" si="6"/>
        <v>-105783.75999999995</v>
      </c>
      <c r="M162" t="str">
        <f t="shared" si="7"/>
        <v>2026-05</v>
      </c>
      <c r="N162">
        <f t="shared" si="8"/>
        <v>0.62</v>
      </c>
    </row>
    <row r="163" spans="1:14">
      <c r="A163" t="s">
        <v>276</v>
      </c>
      <c r="B163" t="s">
        <v>277</v>
      </c>
      <c r="C163" t="s">
        <v>45</v>
      </c>
      <c r="D163" t="s">
        <v>69</v>
      </c>
      <c r="E163" s="1">
        <v>46040</v>
      </c>
      <c r="F163">
        <v>208</v>
      </c>
      <c r="G163" t="s">
        <v>41</v>
      </c>
      <c r="H163">
        <v>180</v>
      </c>
      <c r="I163">
        <v>175</v>
      </c>
      <c r="J163">
        <v>2293196.96</v>
      </c>
      <c r="K163">
        <v>300068.24</v>
      </c>
      <c r="L163">
        <f t="shared" si="6"/>
        <v>1993128.72</v>
      </c>
      <c r="M163" t="str">
        <f t="shared" si="7"/>
        <v>2026-01</v>
      </c>
      <c r="N163">
        <f t="shared" si="8"/>
        <v>0.97222222222222221</v>
      </c>
    </row>
    <row r="164" spans="1:14">
      <c r="A164" t="s">
        <v>278</v>
      </c>
      <c r="B164" t="s">
        <v>127</v>
      </c>
      <c r="C164" t="s">
        <v>40</v>
      </c>
      <c r="D164" t="s">
        <v>55</v>
      </c>
      <c r="E164" s="1">
        <v>46307</v>
      </c>
      <c r="F164">
        <v>525</v>
      </c>
      <c r="G164" t="s">
        <v>46</v>
      </c>
      <c r="H164">
        <v>150</v>
      </c>
      <c r="I164">
        <v>134</v>
      </c>
      <c r="J164">
        <v>1569375.7</v>
      </c>
      <c r="K164">
        <v>638036.11</v>
      </c>
      <c r="L164">
        <f t="shared" si="6"/>
        <v>931339.59</v>
      </c>
      <c r="M164" t="str">
        <f t="shared" si="7"/>
        <v>2026-10</v>
      </c>
      <c r="N164">
        <f t="shared" si="8"/>
        <v>0.89333333333333331</v>
      </c>
    </row>
    <row r="165" spans="1:14">
      <c r="A165" t="s">
        <v>279</v>
      </c>
      <c r="B165" t="s">
        <v>109</v>
      </c>
      <c r="C165" t="s">
        <v>30</v>
      </c>
      <c r="D165" t="s">
        <v>52</v>
      </c>
      <c r="E165" s="1">
        <v>46206</v>
      </c>
      <c r="F165">
        <v>574</v>
      </c>
      <c r="G165" t="s">
        <v>31</v>
      </c>
      <c r="H165">
        <v>180</v>
      </c>
      <c r="I165">
        <v>68</v>
      </c>
      <c r="J165">
        <v>327680.61</v>
      </c>
      <c r="K165">
        <v>414671.53</v>
      </c>
      <c r="L165">
        <f t="shared" si="6"/>
        <v>-86990.920000000042</v>
      </c>
      <c r="M165" t="str">
        <f t="shared" si="7"/>
        <v>2026-07</v>
      </c>
      <c r="N165">
        <f t="shared" si="8"/>
        <v>0.37777777777777777</v>
      </c>
    </row>
    <row r="166" spans="1:14">
      <c r="A166" t="s">
        <v>280</v>
      </c>
      <c r="B166" t="s">
        <v>120</v>
      </c>
      <c r="C166" t="s">
        <v>52</v>
      </c>
      <c r="D166" t="s">
        <v>34</v>
      </c>
      <c r="E166" s="1">
        <v>46126</v>
      </c>
      <c r="F166">
        <v>542</v>
      </c>
      <c r="G166" t="s">
        <v>35</v>
      </c>
      <c r="H166">
        <v>300</v>
      </c>
      <c r="I166">
        <v>155</v>
      </c>
      <c r="J166">
        <v>1688062.18</v>
      </c>
      <c r="K166">
        <v>538966.43999999994</v>
      </c>
      <c r="L166">
        <f t="shared" si="6"/>
        <v>1149095.74</v>
      </c>
      <c r="M166" t="str">
        <f t="shared" si="7"/>
        <v>2026-04</v>
      </c>
      <c r="N166">
        <f t="shared" si="8"/>
        <v>0.51666666666666672</v>
      </c>
    </row>
    <row r="167" spans="1:14">
      <c r="A167" t="s">
        <v>281</v>
      </c>
      <c r="B167" t="s">
        <v>282</v>
      </c>
      <c r="C167" t="s">
        <v>52</v>
      </c>
      <c r="D167" t="s">
        <v>29</v>
      </c>
      <c r="E167" s="1">
        <v>46108</v>
      </c>
      <c r="F167">
        <v>293</v>
      </c>
      <c r="G167" t="s">
        <v>46</v>
      </c>
      <c r="H167">
        <v>180</v>
      </c>
      <c r="I167">
        <v>103</v>
      </c>
      <c r="J167">
        <v>1338193.06</v>
      </c>
      <c r="K167">
        <v>238762.58</v>
      </c>
      <c r="L167">
        <f t="shared" si="6"/>
        <v>1099430.48</v>
      </c>
      <c r="M167" t="str">
        <f t="shared" si="7"/>
        <v>2026-03</v>
      </c>
      <c r="N167">
        <f t="shared" si="8"/>
        <v>0.57222222222222219</v>
      </c>
    </row>
    <row r="168" spans="1:14">
      <c r="A168" t="s">
        <v>283</v>
      </c>
      <c r="B168" t="s">
        <v>68</v>
      </c>
      <c r="C168" t="s">
        <v>69</v>
      </c>
      <c r="D168" t="s">
        <v>45</v>
      </c>
      <c r="E168" s="1">
        <v>46092</v>
      </c>
      <c r="F168">
        <v>270</v>
      </c>
      <c r="G168" t="s">
        <v>41</v>
      </c>
      <c r="H168">
        <v>180</v>
      </c>
      <c r="I168">
        <v>160</v>
      </c>
      <c r="J168">
        <v>1341332.4099999999</v>
      </c>
      <c r="K168">
        <v>361471.41</v>
      </c>
      <c r="L168">
        <f t="shared" si="6"/>
        <v>979861</v>
      </c>
      <c r="M168" t="str">
        <f t="shared" si="7"/>
        <v>2026-03</v>
      </c>
      <c r="N168">
        <f t="shared" si="8"/>
        <v>0.88888888888888884</v>
      </c>
    </row>
    <row r="169" spans="1:14">
      <c r="A169" t="s">
        <v>284</v>
      </c>
      <c r="B169" t="s">
        <v>192</v>
      </c>
      <c r="C169" t="s">
        <v>49</v>
      </c>
      <c r="D169" t="s">
        <v>44</v>
      </c>
      <c r="E169" s="1">
        <v>46224</v>
      </c>
      <c r="F169">
        <v>97</v>
      </c>
      <c r="G169" t="s">
        <v>46</v>
      </c>
      <c r="H169">
        <v>300</v>
      </c>
      <c r="I169">
        <v>237</v>
      </c>
      <c r="J169">
        <v>2969697.21</v>
      </c>
      <c r="K169">
        <v>204814.06</v>
      </c>
      <c r="L169">
        <f t="shared" si="6"/>
        <v>2764883.15</v>
      </c>
      <c r="M169" t="str">
        <f t="shared" si="7"/>
        <v>2026-07</v>
      </c>
      <c r="N169">
        <f t="shared" si="8"/>
        <v>0.79</v>
      </c>
    </row>
    <row r="170" spans="1:14">
      <c r="A170" t="s">
        <v>285</v>
      </c>
      <c r="B170" t="s">
        <v>28</v>
      </c>
      <c r="C170" t="s">
        <v>29</v>
      </c>
      <c r="D170" t="s">
        <v>30</v>
      </c>
      <c r="E170" s="1">
        <v>46208</v>
      </c>
      <c r="F170">
        <v>114</v>
      </c>
      <c r="G170" t="s">
        <v>35</v>
      </c>
      <c r="H170">
        <v>300</v>
      </c>
      <c r="I170">
        <v>169</v>
      </c>
      <c r="J170">
        <v>1730872.99</v>
      </c>
      <c r="K170">
        <v>260982.14</v>
      </c>
      <c r="L170">
        <f t="shared" si="6"/>
        <v>1469890.85</v>
      </c>
      <c r="M170" t="str">
        <f t="shared" si="7"/>
        <v>2026-07</v>
      </c>
      <c r="N170">
        <f t="shared" si="8"/>
        <v>0.56333333333333335</v>
      </c>
    </row>
    <row r="171" spans="1:14">
      <c r="A171" t="s">
        <v>286</v>
      </c>
      <c r="B171" t="s">
        <v>246</v>
      </c>
      <c r="C171" t="s">
        <v>52</v>
      </c>
      <c r="D171" t="s">
        <v>69</v>
      </c>
      <c r="E171" s="1">
        <v>46233</v>
      </c>
      <c r="F171">
        <v>465</v>
      </c>
      <c r="G171" t="s">
        <v>35</v>
      </c>
      <c r="H171">
        <v>150</v>
      </c>
      <c r="I171">
        <v>125</v>
      </c>
      <c r="J171">
        <v>1552345.47</v>
      </c>
      <c r="K171">
        <v>537850.14</v>
      </c>
      <c r="L171">
        <f t="shared" si="6"/>
        <v>1014495.33</v>
      </c>
      <c r="M171" t="str">
        <f t="shared" si="7"/>
        <v>2026-07</v>
      </c>
      <c r="N171">
        <f t="shared" si="8"/>
        <v>0.83333333333333337</v>
      </c>
    </row>
    <row r="172" spans="1:14">
      <c r="A172" t="s">
        <v>287</v>
      </c>
      <c r="B172" t="s">
        <v>51</v>
      </c>
      <c r="C172" t="s">
        <v>52</v>
      </c>
      <c r="D172" t="s">
        <v>30</v>
      </c>
      <c r="E172" s="1">
        <v>46138</v>
      </c>
      <c r="F172">
        <v>172</v>
      </c>
      <c r="G172" t="s">
        <v>31</v>
      </c>
      <c r="H172">
        <v>300</v>
      </c>
      <c r="I172">
        <v>300</v>
      </c>
      <c r="J172">
        <v>3659718.69</v>
      </c>
      <c r="K172">
        <v>324327.34999999998</v>
      </c>
      <c r="L172">
        <f t="shared" si="6"/>
        <v>3335391.34</v>
      </c>
      <c r="M172" t="str">
        <f t="shared" si="7"/>
        <v>2026-04</v>
      </c>
      <c r="N172">
        <f t="shared" si="8"/>
        <v>1</v>
      </c>
    </row>
    <row r="173" spans="1:14">
      <c r="A173" t="s">
        <v>288</v>
      </c>
      <c r="B173" t="s">
        <v>83</v>
      </c>
      <c r="C173" t="s">
        <v>30</v>
      </c>
      <c r="D173" t="s">
        <v>40</v>
      </c>
      <c r="E173" s="1">
        <v>46220</v>
      </c>
      <c r="F173">
        <v>137</v>
      </c>
      <c r="G173" t="s">
        <v>35</v>
      </c>
      <c r="H173">
        <v>250</v>
      </c>
      <c r="I173">
        <v>152</v>
      </c>
      <c r="J173">
        <v>1499095.02</v>
      </c>
      <c r="K173">
        <v>249867.08</v>
      </c>
      <c r="L173">
        <f t="shared" si="6"/>
        <v>1249227.94</v>
      </c>
      <c r="M173" t="str">
        <f t="shared" si="7"/>
        <v>2026-07</v>
      </c>
      <c r="N173">
        <f t="shared" si="8"/>
        <v>0.60799999999999998</v>
      </c>
    </row>
    <row r="174" spans="1:14">
      <c r="A174" t="s">
        <v>289</v>
      </c>
      <c r="B174" t="s">
        <v>246</v>
      </c>
      <c r="C174" t="s">
        <v>52</v>
      </c>
      <c r="D174" t="s">
        <v>69</v>
      </c>
      <c r="E174" s="1">
        <v>46276</v>
      </c>
      <c r="F174">
        <v>485</v>
      </c>
      <c r="G174" t="s">
        <v>31</v>
      </c>
      <c r="H174">
        <v>180</v>
      </c>
      <c r="I174">
        <v>118</v>
      </c>
      <c r="J174">
        <v>1546177.93</v>
      </c>
      <c r="K174">
        <v>395681.43</v>
      </c>
      <c r="L174">
        <f t="shared" si="6"/>
        <v>1150496.5</v>
      </c>
      <c r="M174" t="str">
        <f t="shared" si="7"/>
        <v>2026-09</v>
      </c>
      <c r="N174">
        <f t="shared" si="8"/>
        <v>0.65555555555555556</v>
      </c>
    </row>
    <row r="175" spans="1:14">
      <c r="A175" t="s">
        <v>290</v>
      </c>
      <c r="B175" t="s">
        <v>81</v>
      </c>
      <c r="C175" t="s">
        <v>34</v>
      </c>
      <c r="D175" t="s">
        <v>69</v>
      </c>
      <c r="E175" s="1">
        <v>46317</v>
      </c>
      <c r="F175">
        <v>372</v>
      </c>
      <c r="G175" t="s">
        <v>35</v>
      </c>
      <c r="H175">
        <v>180</v>
      </c>
      <c r="I175">
        <v>90</v>
      </c>
      <c r="J175">
        <v>441620.82</v>
      </c>
      <c r="K175">
        <v>434902.63</v>
      </c>
      <c r="L175">
        <f t="shared" si="6"/>
        <v>6718.1900000000023</v>
      </c>
      <c r="M175" t="str">
        <f t="shared" si="7"/>
        <v>2026-10</v>
      </c>
      <c r="N175">
        <f t="shared" si="8"/>
        <v>0.5</v>
      </c>
    </row>
    <row r="176" spans="1:14">
      <c r="A176" t="s">
        <v>291</v>
      </c>
      <c r="B176" t="s">
        <v>182</v>
      </c>
      <c r="C176" t="s">
        <v>45</v>
      </c>
      <c r="D176" t="s">
        <v>34</v>
      </c>
      <c r="E176" s="1">
        <v>46242</v>
      </c>
      <c r="F176">
        <v>222</v>
      </c>
      <c r="G176" t="s">
        <v>31</v>
      </c>
      <c r="H176">
        <v>300</v>
      </c>
      <c r="I176">
        <v>63</v>
      </c>
      <c r="J176">
        <v>377656.93</v>
      </c>
      <c r="K176">
        <v>303260.99</v>
      </c>
      <c r="L176">
        <f t="shared" si="6"/>
        <v>74395.94</v>
      </c>
      <c r="M176" t="str">
        <f t="shared" si="7"/>
        <v>2026-08</v>
      </c>
      <c r="N176">
        <f t="shared" si="8"/>
        <v>0.21</v>
      </c>
    </row>
    <row r="177" spans="1:14">
      <c r="A177" t="s">
        <v>292</v>
      </c>
      <c r="B177" t="s">
        <v>129</v>
      </c>
      <c r="C177" t="s">
        <v>45</v>
      </c>
      <c r="D177" t="s">
        <v>30</v>
      </c>
      <c r="E177" s="1">
        <v>46272</v>
      </c>
      <c r="F177">
        <v>500</v>
      </c>
      <c r="G177" t="s">
        <v>41</v>
      </c>
      <c r="H177">
        <v>300</v>
      </c>
      <c r="I177">
        <v>227</v>
      </c>
      <c r="J177">
        <v>1800824.42</v>
      </c>
      <c r="K177">
        <v>521570.16</v>
      </c>
      <c r="L177">
        <f t="shared" si="6"/>
        <v>1279254.26</v>
      </c>
      <c r="M177" t="str">
        <f t="shared" si="7"/>
        <v>2026-09</v>
      </c>
      <c r="N177">
        <f t="shared" si="8"/>
        <v>0.75666666666666671</v>
      </c>
    </row>
    <row r="178" spans="1:14">
      <c r="A178" t="s">
        <v>293</v>
      </c>
      <c r="B178" t="s">
        <v>184</v>
      </c>
      <c r="C178" t="s">
        <v>29</v>
      </c>
      <c r="D178" t="s">
        <v>44</v>
      </c>
      <c r="E178" s="1">
        <v>46187</v>
      </c>
      <c r="F178">
        <v>373</v>
      </c>
      <c r="G178" t="s">
        <v>41</v>
      </c>
      <c r="H178">
        <v>180</v>
      </c>
      <c r="I178">
        <v>118</v>
      </c>
      <c r="J178">
        <v>1280311.24</v>
      </c>
      <c r="K178">
        <v>328223.28999999998</v>
      </c>
      <c r="L178">
        <f t="shared" si="6"/>
        <v>952087.95</v>
      </c>
      <c r="M178" t="str">
        <f t="shared" si="7"/>
        <v>2026-06</v>
      </c>
      <c r="N178">
        <f t="shared" si="8"/>
        <v>0.65555555555555556</v>
      </c>
    </row>
    <row r="179" spans="1:14">
      <c r="A179" t="s">
        <v>294</v>
      </c>
      <c r="B179" t="s">
        <v>107</v>
      </c>
      <c r="C179" t="s">
        <v>30</v>
      </c>
      <c r="D179" t="s">
        <v>45</v>
      </c>
      <c r="E179" s="1">
        <v>46183</v>
      </c>
      <c r="F179">
        <v>237</v>
      </c>
      <c r="G179" t="s">
        <v>41</v>
      </c>
      <c r="H179">
        <v>300</v>
      </c>
      <c r="I179">
        <v>176</v>
      </c>
      <c r="J179">
        <v>1058041.5900000001</v>
      </c>
      <c r="K179">
        <v>409617.2</v>
      </c>
      <c r="L179">
        <f t="shared" si="6"/>
        <v>648424.39000000013</v>
      </c>
      <c r="M179" t="str">
        <f t="shared" si="7"/>
        <v>2026-06</v>
      </c>
      <c r="N179">
        <f t="shared" si="8"/>
        <v>0.58666666666666667</v>
      </c>
    </row>
    <row r="180" spans="1:14">
      <c r="A180" t="s">
        <v>295</v>
      </c>
      <c r="B180" t="s">
        <v>169</v>
      </c>
      <c r="C180" t="s">
        <v>34</v>
      </c>
      <c r="D180" t="s">
        <v>40</v>
      </c>
      <c r="E180" s="1">
        <v>46191</v>
      </c>
      <c r="F180">
        <v>482</v>
      </c>
      <c r="G180" t="s">
        <v>46</v>
      </c>
      <c r="H180">
        <v>150</v>
      </c>
      <c r="I180">
        <v>66</v>
      </c>
      <c r="J180">
        <v>683416.93</v>
      </c>
      <c r="K180">
        <v>392302.02</v>
      </c>
      <c r="L180">
        <f t="shared" si="6"/>
        <v>291114.91000000003</v>
      </c>
      <c r="M180" t="str">
        <f t="shared" si="7"/>
        <v>2026-06</v>
      </c>
      <c r="N180">
        <f t="shared" si="8"/>
        <v>0.44</v>
      </c>
    </row>
    <row r="181" spans="1:14">
      <c r="A181" t="s">
        <v>296</v>
      </c>
      <c r="B181" t="s">
        <v>220</v>
      </c>
      <c r="C181" t="s">
        <v>34</v>
      </c>
      <c r="D181" t="s">
        <v>49</v>
      </c>
      <c r="E181" s="1">
        <v>46120</v>
      </c>
      <c r="F181">
        <v>203</v>
      </c>
      <c r="G181" t="s">
        <v>35</v>
      </c>
      <c r="H181">
        <v>250</v>
      </c>
      <c r="I181">
        <v>174</v>
      </c>
      <c r="J181">
        <v>2086504.39</v>
      </c>
      <c r="K181">
        <v>267792.49</v>
      </c>
      <c r="L181">
        <f t="shared" si="6"/>
        <v>1818711.9</v>
      </c>
      <c r="M181" t="str">
        <f t="shared" si="7"/>
        <v>2026-04</v>
      </c>
      <c r="N181">
        <f t="shared" si="8"/>
        <v>0.69599999999999995</v>
      </c>
    </row>
    <row r="182" spans="1:14">
      <c r="A182" t="s">
        <v>297</v>
      </c>
      <c r="B182" t="s">
        <v>184</v>
      </c>
      <c r="C182" t="s">
        <v>29</v>
      </c>
      <c r="D182" t="s">
        <v>44</v>
      </c>
      <c r="E182" s="1">
        <v>46071</v>
      </c>
      <c r="F182">
        <v>91</v>
      </c>
      <c r="G182" t="s">
        <v>31</v>
      </c>
      <c r="H182">
        <v>150</v>
      </c>
      <c r="I182">
        <v>69</v>
      </c>
      <c r="J182">
        <v>658133.93999999994</v>
      </c>
      <c r="K182">
        <v>168811.67</v>
      </c>
      <c r="L182">
        <f t="shared" si="6"/>
        <v>489322.2699999999</v>
      </c>
      <c r="M182" t="str">
        <f t="shared" si="7"/>
        <v>2026-02</v>
      </c>
      <c r="N182">
        <f t="shared" si="8"/>
        <v>0.46</v>
      </c>
    </row>
    <row r="183" spans="1:14">
      <c r="A183" t="s">
        <v>298</v>
      </c>
      <c r="B183" t="s">
        <v>299</v>
      </c>
      <c r="C183" t="s">
        <v>34</v>
      </c>
      <c r="D183" t="s">
        <v>44</v>
      </c>
      <c r="E183" s="1">
        <v>46190</v>
      </c>
      <c r="F183">
        <v>117</v>
      </c>
      <c r="G183" t="s">
        <v>35</v>
      </c>
      <c r="H183">
        <v>180</v>
      </c>
      <c r="I183">
        <v>162</v>
      </c>
      <c r="J183">
        <v>538813.47</v>
      </c>
      <c r="K183">
        <v>153840.26</v>
      </c>
      <c r="L183">
        <f t="shared" si="6"/>
        <v>384973.20999999996</v>
      </c>
      <c r="M183" t="str">
        <f t="shared" si="7"/>
        <v>2026-06</v>
      </c>
      <c r="N183">
        <f t="shared" si="8"/>
        <v>0.9</v>
      </c>
    </row>
    <row r="184" spans="1:14">
      <c r="A184" t="s">
        <v>300</v>
      </c>
      <c r="B184" t="s">
        <v>159</v>
      </c>
      <c r="C184" t="s">
        <v>55</v>
      </c>
      <c r="D184" t="s">
        <v>45</v>
      </c>
      <c r="E184" s="1">
        <v>46301</v>
      </c>
      <c r="F184">
        <v>438</v>
      </c>
      <c r="G184" t="s">
        <v>46</v>
      </c>
      <c r="H184">
        <v>250</v>
      </c>
      <c r="I184">
        <v>196</v>
      </c>
      <c r="J184">
        <v>1625401.72</v>
      </c>
      <c r="K184">
        <v>403973.8</v>
      </c>
      <c r="L184">
        <f t="shared" si="6"/>
        <v>1221427.92</v>
      </c>
      <c r="M184" t="str">
        <f t="shared" si="7"/>
        <v>2026-10</v>
      </c>
      <c r="N184">
        <f t="shared" si="8"/>
        <v>0.78400000000000003</v>
      </c>
    </row>
    <row r="185" spans="1:14">
      <c r="A185" t="s">
        <v>301</v>
      </c>
      <c r="B185" t="s">
        <v>302</v>
      </c>
      <c r="C185" t="s">
        <v>30</v>
      </c>
      <c r="D185" t="s">
        <v>34</v>
      </c>
      <c r="E185" s="1">
        <v>46094</v>
      </c>
      <c r="F185">
        <v>297</v>
      </c>
      <c r="G185" t="s">
        <v>35</v>
      </c>
      <c r="H185">
        <v>180</v>
      </c>
      <c r="I185">
        <v>91</v>
      </c>
      <c r="J185">
        <v>761782.41</v>
      </c>
      <c r="K185">
        <v>354470.82</v>
      </c>
      <c r="L185">
        <f t="shared" si="6"/>
        <v>407311.59</v>
      </c>
      <c r="M185" t="str">
        <f t="shared" si="7"/>
        <v>2026-03</v>
      </c>
      <c r="N185">
        <f t="shared" si="8"/>
        <v>0.50555555555555554</v>
      </c>
    </row>
    <row r="186" spans="1:14">
      <c r="A186" t="s">
        <v>303</v>
      </c>
      <c r="B186" t="s">
        <v>192</v>
      </c>
      <c r="C186" t="s">
        <v>49</v>
      </c>
      <c r="D186" t="s">
        <v>44</v>
      </c>
      <c r="E186" s="1">
        <v>46062</v>
      </c>
      <c r="F186">
        <v>545</v>
      </c>
      <c r="G186" t="s">
        <v>41</v>
      </c>
      <c r="H186">
        <v>300</v>
      </c>
      <c r="I186">
        <v>178</v>
      </c>
      <c r="J186">
        <v>605307.37</v>
      </c>
      <c r="K186">
        <v>561248.93000000005</v>
      </c>
      <c r="L186">
        <f t="shared" si="6"/>
        <v>44058.439999999944</v>
      </c>
      <c r="M186" t="str">
        <f t="shared" si="7"/>
        <v>2026-02</v>
      </c>
      <c r="N186">
        <f t="shared" si="8"/>
        <v>0.59333333333333338</v>
      </c>
    </row>
    <row r="187" spans="1:14">
      <c r="A187" t="s">
        <v>304</v>
      </c>
      <c r="B187" t="s">
        <v>96</v>
      </c>
      <c r="C187" t="s">
        <v>69</v>
      </c>
      <c r="D187" t="s">
        <v>30</v>
      </c>
      <c r="E187" s="1">
        <v>46038</v>
      </c>
      <c r="F187">
        <v>188</v>
      </c>
      <c r="G187" t="s">
        <v>31</v>
      </c>
      <c r="H187">
        <v>150</v>
      </c>
      <c r="I187">
        <v>70</v>
      </c>
      <c r="J187">
        <v>819155.86</v>
      </c>
      <c r="K187">
        <v>211508.27</v>
      </c>
      <c r="L187">
        <f t="shared" si="6"/>
        <v>607647.59</v>
      </c>
      <c r="M187" t="str">
        <f t="shared" si="7"/>
        <v>2026-01</v>
      </c>
      <c r="N187">
        <f t="shared" si="8"/>
        <v>0.46666666666666667</v>
      </c>
    </row>
    <row r="188" spans="1:14">
      <c r="A188" t="s">
        <v>305</v>
      </c>
      <c r="B188" t="s">
        <v>186</v>
      </c>
      <c r="C188" t="s">
        <v>49</v>
      </c>
      <c r="D188" t="s">
        <v>30</v>
      </c>
      <c r="E188" s="1">
        <v>46303</v>
      </c>
      <c r="F188">
        <v>441</v>
      </c>
      <c r="G188" t="s">
        <v>46</v>
      </c>
      <c r="H188">
        <v>150</v>
      </c>
      <c r="I188">
        <v>148</v>
      </c>
      <c r="J188">
        <v>776843.61</v>
      </c>
      <c r="K188">
        <v>560419.26</v>
      </c>
      <c r="L188">
        <f t="shared" si="6"/>
        <v>216424.34999999998</v>
      </c>
      <c r="M188" t="str">
        <f t="shared" si="7"/>
        <v>2026-10</v>
      </c>
      <c r="N188">
        <f t="shared" si="8"/>
        <v>0.98666666666666669</v>
      </c>
    </row>
    <row r="189" spans="1:14">
      <c r="A189" t="s">
        <v>306</v>
      </c>
      <c r="B189" t="s">
        <v>307</v>
      </c>
      <c r="C189" t="s">
        <v>40</v>
      </c>
      <c r="D189" t="s">
        <v>45</v>
      </c>
      <c r="E189" s="1">
        <v>46235</v>
      </c>
      <c r="F189">
        <v>285</v>
      </c>
      <c r="G189" t="s">
        <v>46</v>
      </c>
      <c r="H189">
        <v>250</v>
      </c>
      <c r="I189">
        <v>125</v>
      </c>
      <c r="J189">
        <v>877812.07</v>
      </c>
      <c r="K189">
        <v>302165.44</v>
      </c>
      <c r="L189">
        <f t="shared" si="6"/>
        <v>575646.62999999989</v>
      </c>
      <c r="M189" t="str">
        <f t="shared" si="7"/>
        <v>2026-08</v>
      </c>
      <c r="N189">
        <f t="shared" si="8"/>
        <v>0.5</v>
      </c>
    </row>
    <row r="190" spans="1:14">
      <c r="A190" t="s">
        <v>308</v>
      </c>
      <c r="B190" t="s">
        <v>66</v>
      </c>
      <c r="C190" t="s">
        <v>49</v>
      </c>
      <c r="D190" t="s">
        <v>45</v>
      </c>
      <c r="E190" s="1">
        <v>46097</v>
      </c>
      <c r="F190">
        <v>338</v>
      </c>
      <c r="G190" t="s">
        <v>35</v>
      </c>
      <c r="H190">
        <v>300</v>
      </c>
      <c r="I190">
        <v>199</v>
      </c>
      <c r="J190">
        <v>2359509.0699999998</v>
      </c>
      <c r="K190">
        <v>509745.95</v>
      </c>
      <c r="L190">
        <f t="shared" si="6"/>
        <v>1849763.1199999999</v>
      </c>
      <c r="M190" t="str">
        <f t="shared" si="7"/>
        <v>2026-03</v>
      </c>
      <c r="N190">
        <f t="shared" si="8"/>
        <v>0.66333333333333333</v>
      </c>
    </row>
    <row r="191" spans="1:14">
      <c r="A191" t="s">
        <v>309</v>
      </c>
      <c r="B191" t="s">
        <v>77</v>
      </c>
      <c r="C191" t="s">
        <v>45</v>
      </c>
      <c r="D191" t="s">
        <v>29</v>
      </c>
      <c r="E191" s="1">
        <v>46223</v>
      </c>
      <c r="F191">
        <v>183</v>
      </c>
      <c r="G191" t="s">
        <v>41</v>
      </c>
      <c r="H191">
        <v>300</v>
      </c>
      <c r="I191">
        <v>296</v>
      </c>
      <c r="J191">
        <v>1879988.67</v>
      </c>
      <c r="K191">
        <v>323853.17</v>
      </c>
      <c r="L191">
        <f t="shared" si="6"/>
        <v>1556135.5</v>
      </c>
      <c r="M191" t="str">
        <f t="shared" si="7"/>
        <v>2026-07</v>
      </c>
      <c r="N191">
        <f t="shared" si="8"/>
        <v>0.98666666666666669</v>
      </c>
    </row>
    <row r="192" spans="1:14">
      <c r="A192" t="s">
        <v>310</v>
      </c>
      <c r="B192" t="s">
        <v>83</v>
      </c>
      <c r="C192" t="s">
        <v>30</v>
      </c>
      <c r="D192" t="s">
        <v>40</v>
      </c>
      <c r="E192" s="1">
        <v>46164</v>
      </c>
      <c r="F192">
        <v>519</v>
      </c>
      <c r="G192" t="s">
        <v>41</v>
      </c>
      <c r="H192">
        <v>250</v>
      </c>
      <c r="I192">
        <v>186</v>
      </c>
      <c r="J192">
        <v>2317814.4700000002</v>
      </c>
      <c r="K192">
        <v>626089.02</v>
      </c>
      <c r="L192">
        <f t="shared" si="6"/>
        <v>1691725.4500000002</v>
      </c>
      <c r="M192" t="str">
        <f t="shared" si="7"/>
        <v>2026-05</v>
      </c>
      <c r="N192">
        <f t="shared" si="8"/>
        <v>0.74399999999999999</v>
      </c>
    </row>
    <row r="193" spans="1:14">
      <c r="A193" t="s">
        <v>311</v>
      </c>
      <c r="B193" t="s">
        <v>153</v>
      </c>
      <c r="C193" t="s">
        <v>69</v>
      </c>
      <c r="D193" t="s">
        <v>40</v>
      </c>
      <c r="E193" s="1">
        <v>46068</v>
      </c>
      <c r="F193">
        <v>201</v>
      </c>
      <c r="G193" t="s">
        <v>35</v>
      </c>
      <c r="H193">
        <v>150</v>
      </c>
      <c r="I193">
        <v>121</v>
      </c>
      <c r="J193">
        <v>550088.32999999996</v>
      </c>
      <c r="K193">
        <v>233575.49</v>
      </c>
      <c r="L193">
        <f t="shared" si="6"/>
        <v>316512.83999999997</v>
      </c>
      <c r="M193" t="str">
        <f t="shared" si="7"/>
        <v>2026-02</v>
      </c>
      <c r="N193">
        <f t="shared" si="8"/>
        <v>0.80666666666666664</v>
      </c>
    </row>
    <row r="194" spans="1:14">
      <c r="A194" t="s">
        <v>312</v>
      </c>
      <c r="B194" t="s">
        <v>226</v>
      </c>
      <c r="C194" t="s">
        <v>69</v>
      </c>
      <c r="D194" t="s">
        <v>55</v>
      </c>
      <c r="E194" s="1">
        <v>46297</v>
      </c>
      <c r="F194">
        <v>343</v>
      </c>
      <c r="G194" t="s">
        <v>35</v>
      </c>
      <c r="H194">
        <v>150</v>
      </c>
      <c r="I194">
        <v>120</v>
      </c>
      <c r="J194">
        <v>1254736.08</v>
      </c>
      <c r="K194">
        <v>380760.27</v>
      </c>
      <c r="L194">
        <f t="shared" si="6"/>
        <v>873975.81</v>
      </c>
      <c r="M194" t="str">
        <f t="shared" si="7"/>
        <v>2026-10</v>
      </c>
      <c r="N194">
        <f t="shared" si="8"/>
        <v>0.8</v>
      </c>
    </row>
    <row r="195" spans="1:14">
      <c r="A195" t="s">
        <v>313</v>
      </c>
      <c r="B195" t="s">
        <v>96</v>
      </c>
      <c r="C195" t="s">
        <v>69</v>
      </c>
      <c r="D195" t="s">
        <v>30</v>
      </c>
      <c r="E195" s="1">
        <v>46287</v>
      </c>
      <c r="F195">
        <v>379</v>
      </c>
      <c r="G195" t="s">
        <v>41</v>
      </c>
      <c r="H195">
        <v>300</v>
      </c>
      <c r="I195">
        <v>101</v>
      </c>
      <c r="J195">
        <v>668133.5</v>
      </c>
      <c r="K195">
        <v>498244.24</v>
      </c>
      <c r="L195">
        <f t="shared" ref="L195:L258" si="9">J195-K195</f>
        <v>169889.26</v>
      </c>
      <c r="M195" t="str">
        <f t="shared" ref="M195:M258" si="10">TEXT(E195,"YYYY-MM")</f>
        <v>2026-09</v>
      </c>
      <c r="N195">
        <f t="shared" ref="N195:N258" si="11">I195/H195</f>
        <v>0.33666666666666667</v>
      </c>
    </row>
    <row r="196" spans="1:14">
      <c r="A196" t="s">
        <v>314</v>
      </c>
      <c r="B196" t="s">
        <v>75</v>
      </c>
      <c r="C196" t="s">
        <v>55</v>
      </c>
      <c r="D196" t="s">
        <v>30</v>
      </c>
      <c r="E196" s="1">
        <v>46286</v>
      </c>
      <c r="F196">
        <v>573</v>
      </c>
      <c r="G196" t="s">
        <v>41</v>
      </c>
      <c r="H196">
        <v>150</v>
      </c>
      <c r="I196">
        <v>135</v>
      </c>
      <c r="J196">
        <v>1850530.05</v>
      </c>
      <c r="K196">
        <v>435835.94</v>
      </c>
      <c r="L196">
        <f t="shared" si="9"/>
        <v>1414694.11</v>
      </c>
      <c r="M196" t="str">
        <f t="shared" si="10"/>
        <v>2026-09</v>
      </c>
      <c r="N196">
        <f t="shared" si="11"/>
        <v>0.9</v>
      </c>
    </row>
    <row r="197" spans="1:14">
      <c r="A197" t="s">
        <v>315</v>
      </c>
      <c r="B197" t="s">
        <v>163</v>
      </c>
      <c r="C197" t="s">
        <v>29</v>
      </c>
      <c r="D197" t="s">
        <v>69</v>
      </c>
      <c r="E197" s="1">
        <v>46277</v>
      </c>
      <c r="F197">
        <v>384</v>
      </c>
      <c r="G197" t="s">
        <v>35</v>
      </c>
      <c r="H197">
        <v>300</v>
      </c>
      <c r="I197">
        <v>150</v>
      </c>
      <c r="J197">
        <v>1528161.31</v>
      </c>
      <c r="K197">
        <v>372893.99</v>
      </c>
      <c r="L197">
        <f t="shared" si="9"/>
        <v>1155267.32</v>
      </c>
      <c r="M197" t="str">
        <f t="shared" si="10"/>
        <v>2026-09</v>
      </c>
      <c r="N197">
        <f t="shared" si="11"/>
        <v>0.5</v>
      </c>
    </row>
    <row r="198" spans="1:14">
      <c r="A198" t="s">
        <v>316</v>
      </c>
      <c r="B198" t="s">
        <v>102</v>
      </c>
      <c r="C198" t="s">
        <v>45</v>
      </c>
      <c r="D198" t="s">
        <v>55</v>
      </c>
      <c r="E198" s="1">
        <v>46098</v>
      </c>
      <c r="F198">
        <v>233</v>
      </c>
      <c r="G198" t="s">
        <v>31</v>
      </c>
      <c r="H198">
        <v>250</v>
      </c>
      <c r="I198">
        <v>154</v>
      </c>
      <c r="J198">
        <v>1091827.4099999999</v>
      </c>
      <c r="K198">
        <v>268382.90000000002</v>
      </c>
      <c r="L198">
        <f t="shared" si="9"/>
        <v>823444.50999999989</v>
      </c>
      <c r="M198" t="str">
        <f t="shared" si="10"/>
        <v>2026-03</v>
      </c>
      <c r="N198">
        <f t="shared" si="11"/>
        <v>0.61599999999999999</v>
      </c>
    </row>
    <row r="199" spans="1:14">
      <c r="A199" t="s">
        <v>317</v>
      </c>
      <c r="B199" t="s">
        <v>107</v>
      </c>
      <c r="C199" t="s">
        <v>30</v>
      </c>
      <c r="D199" t="s">
        <v>45</v>
      </c>
      <c r="E199" s="1">
        <v>46154</v>
      </c>
      <c r="F199">
        <v>514</v>
      </c>
      <c r="G199" t="s">
        <v>35</v>
      </c>
      <c r="H199">
        <v>300</v>
      </c>
      <c r="I199">
        <v>53</v>
      </c>
      <c r="J199">
        <v>403549.2</v>
      </c>
      <c r="K199">
        <v>582462.61</v>
      </c>
      <c r="L199">
        <f t="shared" si="9"/>
        <v>-178913.40999999997</v>
      </c>
      <c r="M199" t="str">
        <f t="shared" si="10"/>
        <v>2026-05</v>
      </c>
      <c r="N199">
        <f t="shared" si="11"/>
        <v>0.17666666666666667</v>
      </c>
    </row>
    <row r="200" spans="1:14">
      <c r="A200" t="s">
        <v>318</v>
      </c>
      <c r="B200" t="s">
        <v>66</v>
      </c>
      <c r="C200" t="s">
        <v>49</v>
      </c>
      <c r="D200" t="s">
        <v>45</v>
      </c>
      <c r="E200" s="1">
        <v>46284</v>
      </c>
      <c r="F200">
        <v>273</v>
      </c>
      <c r="G200" t="s">
        <v>41</v>
      </c>
      <c r="H200">
        <v>180</v>
      </c>
      <c r="I200">
        <v>110</v>
      </c>
      <c r="J200">
        <v>953691.23</v>
      </c>
      <c r="K200">
        <v>235223.48</v>
      </c>
      <c r="L200">
        <f t="shared" si="9"/>
        <v>718467.75</v>
      </c>
      <c r="M200" t="str">
        <f t="shared" si="10"/>
        <v>2026-09</v>
      </c>
      <c r="N200">
        <f t="shared" si="11"/>
        <v>0.61111111111111116</v>
      </c>
    </row>
    <row r="201" spans="1:14">
      <c r="A201" t="s">
        <v>319</v>
      </c>
      <c r="B201" t="s">
        <v>77</v>
      </c>
      <c r="C201" t="s">
        <v>45</v>
      </c>
      <c r="D201" t="s">
        <v>29</v>
      </c>
      <c r="E201" s="1">
        <v>46164</v>
      </c>
      <c r="F201">
        <v>350</v>
      </c>
      <c r="G201" t="s">
        <v>35</v>
      </c>
      <c r="H201">
        <v>150</v>
      </c>
      <c r="I201">
        <v>133</v>
      </c>
      <c r="J201">
        <v>729360.16</v>
      </c>
      <c r="K201">
        <v>376560.29</v>
      </c>
      <c r="L201">
        <f t="shared" si="9"/>
        <v>352799.87000000005</v>
      </c>
      <c r="M201" t="str">
        <f t="shared" si="10"/>
        <v>2026-05</v>
      </c>
      <c r="N201">
        <f t="shared" si="11"/>
        <v>0.88666666666666671</v>
      </c>
    </row>
    <row r="202" spans="1:14">
      <c r="A202" t="s">
        <v>320</v>
      </c>
      <c r="B202" t="s">
        <v>75</v>
      </c>
      <c r="C202" t="s">
        <v>55</v>
      </c>
      <c r="D202" t="s">
        <v>30</v>
      </c>
      <c r="E202" s="1">
        <v>46317</v>
      </c>
      <c r="F202">
        <v>400</v>
      </c>
      <c r="G202" t="s">
        <v>41</v>
      </c>
      <c r="H202">
        <v>150</v>
      </c>
      <c r="I202">
        <v>113</v>
      </c>
      <c r="J202">
        <v>1034177.44</v>
      </c>
      <c r="K202">
        <v>357176.87</v>
      </c>
      <c r="L202">
        <f t="shared" si="9"/>
        <v>677000.57</v>
      </c>
      <c r="M202" t="str">
        <f t="shared" si="10"/>
        <v>2026-10</v>
      </c>
      <c r="N202">
        <f t="shared" si="11"/>
        <v>0.7533333333333333</v>
      </c>
    </row>
    <row r="203" spans="1:14">
      <c r="A203" t="s">
        <v>321</v>
      </c>
      <c r="B203" t="s">
        <v>302</v>
      </c>
      <c r="C203" t="s">
        <v>30</v>
      </c>
      <c r="D203" t="s">
        <v>34</v>
      </c>
      <c r="E203" s="1">
        <v>46081</v>
      </c>
      <c r="F203">
        <v>242</v>
      </c>
      <c r="G203" t="s">
        <v>41</v>
      </c>
      <c r="H203">
        <v>250</v>
      </c>
      <c r="I203">
        <v>190</v>
      </c>
      <c r="J203">
        <v>2109958.0699999998</v>
      </c>
      <c r="K203">
        <v>253598.19</v>
      </c>
      <c r="L203">
        <f t="shared" si="9"/>
        <v>1856359.88</v>
      </c>
      <c r="M203" t="str">
        <f t="shared" si="10"/>
        <v>2026-02</v>
      </c>
      <c r="N203">
        <f t="shared" si="11"/>
        <v>0.76</v>
      </c>
    </row>
    <row r="204" spans="1:14">
      <c r="A204" t="s">
        <v>322</v>
      </c>
      <c r="B204" t="s">
        <v>129</v>
      </c>
      <c r="C204" t="s">
        <v>45</v>
      </c>
      <c r="D204" t="s">
        <v>30</v>
      </c>
      <c r="E204" s="1">
        <v>46262</v>
      </c>
      <c r="F204">
        <v>360</v>
      </c>
      <c r="G204" t="s">
        <v>46</v>
      </c>
      <c r="H204">
        <v>250</v>
      </c>
      <c r="I204">
        <v>246</v>
      </c>
      <c r="J204">
        <v>742620.19</v>
      </c>
      <c r="K204">
        <v>465373.15</v>
      </c>
      <c r="L204">
        <f t="shared" si="9"/>
        <v>277247.03999999992</v>
      </c>
      <c r="M204" t="str">
        <f t="shared" si="10"/>
        <v>2026-08</v>
      </c>
      <c r="N204">
        <f t="shared" si="11"/>
        <v>0.98399999999999999</v>
      </c>
    </row>
    <row r="205" spans="1:14">
      <c r="A205" t="s">
        <v>323</v>
      </c>
      <c r="B205" t="s">
        <v>98</v>
      </c>
      <c r="C205" t="s">
        <v>40</v>
      </c>
      <c r="D205" t="s">
        <v>34</v>
      </c>
      <c r="E205" s="1">
        <v>46183</v>
      </c>
      <c r="F205">
        <v>479</v>
      </c>
      <c r="G205" t="s">
        <v>46</v>
      </c>
      <c r="H205">
        <v>150</v>
      </c>
      <c r="I205">
        <v>68</v>
      </c>
      <c r="J205">
        <v>690598.36</v>
      </c>
      <c r="K205">
        <v>498775.4</v>
      </c>
      <c r="L205">
        <f t="shared" si="9"/>
        <v>191822.95999999996</v>
      </c>
      <c r="M205" t="str">
        <f t="shared" si="10"/>
        <v>2026-06</v>
      </c>
      <c r="N205">
        <f t="shared" si="11"/>
        <v>0.45333333333333331</v>
      </c>
    </row>
    <row r="206" spans="1:14">
      <c r="A206" t="s">
        <v>324</v>
      </c>
      <c r="B206" t="s">
        <v>127</v>
      </c>
      <c r="C206" t="s">
        <v>40</v>
      </c>
      <c r="D206" t="s">
        <v>55</v>
      </c>
      <c r="E206" s="1">
        <v>46307</v>
      </c>
      <c r="F206">
        <v>164</v>
      </c>
      <c r="G206" t="s">
        <v>46</v>
      </c>
      <c r="H206">
        <v>180</v>
      </c>
      <c r="I206">
        <v>100</v>
      </c>
      <c r="J206">
        <v>1012392.95</v>
      </c>
      <c r="K206">
        <v>173163.06</v>
      </c>
      <c r="L206">
        <f t="shared" si="9"/>
        <v>839229.8899999999</v>
      </c>
      <c r="M206" t="str">
        <f t="shared" si="10"/>
        <v>2026-10</v>
      </c>
      <c r="N206">
        <f t="shared" si="11"/>
        <v>0.55555555555555558</v>
      </c>
    </row>
    <row r="207" spans="1:14">
      <c r="A207" t="s">
        <v>325</v>
      </c>
      <c r="B207" t="s">
        <v>240</v>
      </c>
      <c r="C207" t="s">
        <v>55</v>
      </c>
      <c r="D207" t="s">
        <v>40</v>
      </c>
      <c r="E207" s="1">
        <v>46139</v>
      </c>
      <c r="F207">
        <v>573</v>
      </c>
      <c r="G207" t="s">
        <v>41</v>
      </c>
      <c r="H207">
        <v>180</v>
      </c>
      <c r="I207">
        <v>180</v>
      </c>
      <c r="J207">
        <v>1693369.74</v>
      </c>
      <c r="K207">
        <v>433511.2</v>
      </c>
      <c r="L207">
        <f t="shared" si="9"/>
        <v>1259858.54</v>
      </c>
      <c r="M207" t="str">
        <f t="shared" si="10"/>
        <v>2026-04</v>
      </c>
      <c r="N207">
        <f t="shared" si="11"/>
        <v>1</v>
      </c>
    </row>
    <row r="208" spans="1:14">
      <c r="A208" t="s">
        <v>326</v>
      </c>
      <c r="B208" t="s">
        <v>107</v>
      </c>
      <c r="C208" t="s">
        <v>30</v>
      </c>
      <c r="D208" t="s">
        <v>45</v>
      </c>
      <c r="E208" s="1">
        <v>46235</v>
      </c>
      <c r="F208">
        <v>108</v>
      </c>
      <c r="G208" t="s">
        <v>31</v>
      </c>
      <c r="H208">
        <v>250</v>
      </c>
      <c r="I208">
        <v>202</v>
      </c>
      <c r="J208">
        <v>2373516.5299999998</v>
      </c>
      <c r="K208">
        <v>228313.25</v>
      </c>
      <c r="L208">
        <f t="shared" si="9"/>
        <v>2145203.2799999998</v>
      </c>
      <c r="M208" t="str">
        <f t="shared" si="10"/>
        <v>2026-08</v>
      </c>
      <c r="N208">
        <f t="shared" si="11"/>
        <v>0.80800000000000005</v>
      </c>
    </row>
    <row r="209" spans="1:14">
      <c r="A209" t="s">
        <v>327</v>
      </c>
      <c r="B209" t="s">
        <v>77</v>
      </c>
      <c r="C209" t="s">
        <v>45</v>
      </c>
      <c r="D209" t="s">
        <v>29</v>
      </c>
      <c r="E209" s="1">
        <v>46144</v>
      </c>
      <c r="F209">
        <v>89</v>
      </c>
      <c r="G209" t="s">
        <v>35</v>
      </c>
      <c r="H209">
        <v>300</v>
      </c>
      <c r="I209">
        <v>147</v>
      </c>
      <c r="J209">
        <v>1118798.69</v>
      </c>
      <c r="K209">
        <v>222542.69</v>
      </c>
      <c r="L209">
        <f t="shared" si="9"/>
        <v>896256</v>
      </c>
      <c r="M209" t="str">
        <f t="shared" si="10"/>
        <v>2026-05</v>
      </c>
      <c r="N209">
        <f t="shared" si="11"/>
        <v>0.49</v>
      </c>
    </row>
    <row r="210" spans="1:14">
      <c r="A210" t="s">
        <v>328</v>
      </c>
      <c r="B210" t="s">
        <v>144</v>
      </c>
      <c r="C210" t="s">
        <v>49</v>
      </c>
      <c r="D210" t="s">
        <v>55</v>
      </c>
      <c r="E210" s="1">
        <v>46189</v>
      </c>
      <c r="F210">
        <v>349</v>
      </c>
      <c r="G210" t="s">
        <v>35</v>
      </c>
      <c r="H210">
        <v>300</v>
      </c>
      <c r="I210">
        <v>214</v>
      </c>
      <c r="J210">
        <v>2300261.63</v>
      </c>
      <c r="K210">
        <v>335439.38</v>
      </c>
      <c r="L210">
        <f t="shared" si="9"/>
        <v>1964822.25</v>
      </c>
      <c r="M210" t="str">
        <f t="shared" si="10"/>
        <v>2026-06</v>
      </c>
      <c r="N210">
        <f t="shared" si="11"/>
        <v>0.71333333333333337</v>
      </c>
    </row>
    <row r="211" spans="1:14">
      <c r="A211" t="s">
        <v>329</v>
      </c>
      <c r="B211" t="s">
        <v>73</v>
      </c>
      <c r="C211" t="s">
        <v>29</v>
      </c>
      <c r="D211" t="s">
        <v>52</v>
      </c>
      <c r="E211" s="1">
        <v>46148</v>
      </c>
      <c r="F211">
        <v>454</v>
      </c>
      <c r="G211" t="s">
        <v>41</v>
      </c>
      <c r="H211">
        <v>150</v>
      </c>
      <c r="I211">
        <v>87</v>
      </c>
      <c r="J211">
        <v>1145413.6299999999</v>
      </c>
      <c r="K211">
        <v>470778.92</v>
      </c>
      <c r="L211">
        <f t="shared" si="9"/>
        <v>674634.71</v>
      </c>
      <c r="M211" t="str">
        <f t="shared" si="10"/>
        <v>2026-05</v>
      </c>
      <c r="N211">
        <f t="shared" si="11"/>
        <v>0.57999999999999996</v>
      </c>
    </row>
    <row r="212" spans="1:14">
      <c r="A212" t="s">
        <v>330</v>
      </c>
      <c r="B212" t="s">
        <v>94</v>
      </c>
      <c r="C212" t="s">
        <v>34</v>
      </c>
      <c r="D212" t="s">
        <v>30</v>
      </c>
      <c r="E212" s="1">
        <v>46089</v>
      </c>
      <c r="F212">
        <v>134</v>
      </c>
      <c r="G212" t="s">
        <v>41</v>
      </c>
      <c r="H212">
        <v>300</v>
      </c>
      <c r="I212">
        <v>203</v>
      </c>
      <c r="J212">
        <v>703994.29</v>
      </c>
      <c r="K212">
        <v>219903.65</v>
      </c>
      <c r="L212">
        <f t="shared" si="9"/>
        <v>484090.64</v>
      </c>
      <c r="M212" t="str">
        <f t="shared" si="10"/>
        <v>2026-03</v>
      </c>
      <c r="N212">
        <f t="shared" si="11"/>
        <v>0.67666666666666664</v>
      </c>
    </row>
    <row r="213" spans="1:14">
      <c r="A213" t="s">
        <v>331</v>
      </c>
      <c r="B213" t="s">
        <v>48</v>
      </c>
      <c r="C213" t="s">
        <v>49</v>
      </c>
      <c r="D213" t="s">
        <v>40</v>
      </c>
      <c r="E213" s="1">
        <v>46144</v>
      </c>
      <c r="F213">
        <v>184</v>
      </c>
      <c r="G213" t="s">
        <v>41</v>
      </c>
      <c r="H213">
        <v>180</v>
      </c>
      <c r="I213">
        <v>173</v>
      </c>
      <c r="J213">
        <v>1170794.9099999999</v>
      </c>
      <c r="K213">
        <v>296426.39</v>
      </c>
      <c r="L213">
        <f t="shared" si="9"/>
        <v>874368.5199999999</v>
      </c>
      <c r="M213" t="str">
        <f t="shared" si="10"/>
        <v>2026-05</v>
      </c>
      <c r="N213">
        <f t="shared" si="11"/>
        <v>0.96111111111111114</v>
      </c>
    </row>
    <row r="214" spans="1:14">
      <c r="A214" t="s">
        <v>332</v>
      </c>
      <c r="B214" t="s">
        <v>39</v>
      </c>
      <c r="C214" t="s">
        <v>29</v>
      </c>
      <c r="D214" t="s">
        <v>40</v>
      </c>
      <c r="E214" s="1">
        <v>46148</v>
      </c>
      <c r="F214">
        <v>559</v>
      </c>
      <c r="G214" t="s">
        <v>41</v>
      </c>
      <c r="H214">
        <v>150</v>
      </c>
      <c r="I214">
        <v>145</v>
      </c>
      <c r="J214">
        <v>1027273.56</v>
      </c>
      <c r="K214">
        <v>566352.80000000005</v>
      </c>
      <c r="L214">
        <f t="shared" si="9"/>
        <v>460920.76</v>
      </c>
      <c r="M214" t="str">
        <f t="shared" si="10"/>
        <v>2026-05</v>
      </c>
      <c r="N214">
        <f t="shared" si="11"/>
        <v>0.96666666666666667</v>
      </c>
    </row>
    <row r="215" spans="1:14">
      <c r="A215" t="s">
        <v>333</v>
      </c>
      <c r="B215" t="s">
        <v>230</v>
      </c>
      <c r="C215" t="s">
        <v>49</v>
      </c>
      <c r="D215" t="s">
        <v>34</v>
      </c>
      <c r="E215" s="1">
        <v>46064</v>
      </c>
      <c r="F215">
        <v>413</v>
      </c>
      <c r="G215" t="s">
        <v>35</v>
      </c>
      <c r="H215">
        <v>150</v>
      </c>
      <c r="I215">
        <v>100</v>
      </c>
      <c r="J215">
        <v>512605.11</v>
      </c>
      <c r="K215">
        <v>428202.74</v>
      </c>
      <c r="L215">
        <f t="shared" si="9"/>
        <v>84402.37</v>
      </c>
      <c r="M215" t="str">
        <f t="shared" si="10"/>
        <v>2026-02</v>
      </c>
      <c r="N215">
        <f t="shared" si="11"/>
        <v>0.66666666666666663</v>
      </c>
    </row>
    <row r="216" spans="1:14">
      <c r="A216" t="s">
        <v>334</v>
      </c>
      <c r="B216" t="s">
        <v>167</v>
      </c>
      <c r="C216" t="s">
        <v>30</v>
      </c>
      <c r="D216" t="s">
        <v>69</v>
      </c>
      <c r="E216" s="1">
        <v>46133</v>
      </c>
      <c r="F216">
        <v>198</v>
      </c>
      <c r="G216" t="s">
        <v>35</v>
      </c>
      <c r="H216">
        <v>250</v>
      </c>
      <c r="I216">
        <v>66</v>
      </c>
      <c r="J216">
        <v>779785.72</v>
      </c>
      <c r="K216">
        <v>265647.83</v>
      </c>
      <c r="L216">
        <f t="shared" si="9"/>
        <v>514137.88999999996</v>
      </c>
      <c r="M216" t="str">
        <f t="shared" si="10"/>
        <v>2026-04</v>
      </c>
      <c r="N216">
        <f t="shared" si="11"/>
        <v>0.26400000000000001</v>
      </c>
    </row>
    <row r="217" spans="1:14">
      <c r="A217" t="s">
        <v>335</v>
      </c>
      <c r="B217" t="s">
        <v>66</v>
      </c>
      <c r="C217" t="s">
        <v>49</v>
      </c>
      <c r="D217" t="s">
        <v>45</v>
      </c>
      <c r="E217" s="1">
        <v>46306</v>
      </c>
      <c r="F217">
        <v>576</v>
      </c>
      <c r="G217" t="s">
        <v>41</v>
      </c>
      <c r="H217">
        <v>150</v>
      </c>
      <c r="I217">
        <v>85</v>
      </c>
      <c r="J217">
        <v>1180081.67</v>
      </c>
      <c r="K217">
        <v>416372.54</v>
      </c>
      <c r="L217">
        <f t="shared" si="9"/>
        <v>763709.12999999989</v>
      </c>
      <c r="M217" t="str">
        <f t="shared" si="10"/>
        <v>2026-10</v>
      </c>
      <c r="N217">
        <f t="shared" si="11"/>
        <v>0.56666666666666665</v>
      </c>
    </row>
    <row r="218" spans="1:14">
      <c r="A218" t="s">
        <v>336</v>
      </c>
      <c r="B218" t="s">
        <v>307</v>
      </c>
      <c r="C218" t="s">
        <v>40</v>
      </c>
      <c r="D218" t="s">
        <v>45</v>
      </c>
      <c r="E218" s="1">
        <v>46027</v>
      </c>
      <c r="F218">
        <v>243</v>
      </c>
      <c r="G218" t="s">
        <v>35</v>
      </c>
      <c r="H218">
        <v>150</v>
      </c>
      <c r="I218">
        <v>95</v>
      </c>
      <c r="J218">
        <v>324285.84000000003</v>
      </c>
      <c r="K218">
        <v>361430.27</v>
      </c>
      <c r="L218">
        <f t="shared" si="9"/>
        <v>-37144.429999999993</v>
      </c>
      <c r="M218" t="str">
        <f t="shared" si="10"/>
        <v>2026-01</v>
      </c>
      <c r="N218">
        <f t="shared" si="11"/>
        <v>0.6333333333333333</v>
      </c>
    </row>
    <row r="219" spans="1:14">
      <c r="A219" t="s">
        <v>337</v>
      </c>
      <c r="B219" t="s">
        <v>184</v>
      </c>
      <c r="C219" t="s">
        <v>29</v>
      </c>
      <c r="D219" t="s">
        <v>44</v>
      </c>
      <c r="E219" s="1">
        <v>46205</v>
      </c>
      <c r="F219">
        <v>287</v>
      </c>
      <c r="G219" t="s">
        <v>46</v>
      </c>
      <c r="H219">
        <v>250</v>
      </c>
      <c r="I219">
        <v>210</v>
      </c>
      <c r="J219">
        <v>2048033.48</v>
      </c>
      <c r="K219">
        <v>357141.84</v>
      </c>
      <c r="L219">
        <f t="shared" si="9"/>
        <v>1690891.64</v>
      </c>
      <c r="M219" t="str">
        <f t="shared" si="10"/>
        <v>2026-07</v>
      </c>
      <c r="N219">
        <f t="shared" si="11"/>
        <v>0.84</v>
      </c>
    </row>
    <row r="220" spans="1:14">
      <c r="A220" t="s">
        <v>338</v>
      </c>
      <c r="B220" t="s">
        <v>86</v>
      </c>
      <c r="C220" t="s">
        <v>45</v>
      </c>
      <c r="D220" t="s">
        <v>49</v>
      </c>
      <c r="E220" s="1">
        <v>46114</v>
      </c>
      <c r="F220">
        <v>424</v>
      </c>
      <c r="G220" t="s">
        <v>31</v>
      </c>
      <c r="H220">
        <v>300</v>
      </c>
      <c r="I220">
        <v>122</v>
      </c>
      <c r="J220">
        <v>453066.38</v>
      </c>
      <c r="K220">
        <v>362940.22</v>
      </c>
      <c r="L220">
        <f t="shared" si="9"/>
        <v>90126.160000000033</v>
      </c>
      <c r="M220" t="str">
        <f t="shared" si="10"/>
        <v>2026-04</v>
      </c>
      <c r="N220">
        <f t="shared" si="11"/>
        <v>0.40666666666666668</v>
      </c>
    </row>
    <row r="221" spans="1:14">
      <c r="A221" t="s">
        <v>339</v>
      </c>
      <c r="B221" t="s">
        <v>135</v>
      </c>
      <c r="C221" t="s">
        <v>30</v>
      </c>
      <c r="D221" t="s">
        <v>49</v>
      </c>
      <c r="E221" s="1">
        <v>46211</v>
      </c>
      <c r="F221">
        <v>346</v>
      </c>
      <c r="G221" t="s">
        <v>31</v>
      </c>
      <c r="H221">
        <v>300</v>
      </c>
      <c r="I221">
        <v>163</v>
      </c>
      <c r="J221">
        <v>1421705.82</v>
      </c>
      <c r="K221">
        <v>489566.28</v>
      </c>
      <c r="L221">
        <f t="shared" si="9"/>
        <v>932139.54</v>
      </c>
      <c r="M221" t="str">
        <f t="shared" si="10"/>
        <v>2026-07</v>
      </c>
      <c r="N221">
        <f t="shared" si="11"/>
        <v>0.54333333333333333</v>
      </c>
    </row>
    <row r="222" spans="1:14">
      <c r="A222" t="s">
        <v>340</v>
      </c>
      <c r="B222" t="s">
        <v>141</v>
      </c>
      <c r="C222" t="s">
        <v>69</v>
      </c>
      <c r="D222" t="s">
        <v>44</v>
      </c>
      <c r="E222" s="1">
        <v>46174</v>
      </c>
      <c r="F222">
        <v>345</v>
      </c>
      <c r="G222" t="s">
        <v>41</v>
      </c>
      <c r="H222">
        <v>180</v>
      </c>
      <c r="I222">
        <v>96</v>
      </c>
      <c r="J222">
        <v>1429109.03</v>
      </c>
      <c r="K222">
        <v>310957.21999999997</v>
      </c>
      <c r="L222">
        <f t="shared" si="9"/>
        <v>1118151.81</v>
      </c>
      <c r="M222" t="str">
        <f t="shared" si="10"/>
        <v>2026-06</v>
      </c>
      <c r="N222">
        <f t="shared" si="11"/>
        <v>0.53333333333333333</v>
      </c>
    </row>
    <row r="223" spans="1:14">
      <c r="A223" t="s">
        <v>341</v>
      </c>
      <c r="B223" t="s">
        <v>342</v>
      </c>
      <c r="C223" t="s">
        <v>30</v>
      </c>
      <c r="D223" t="s">
        <v>55</v>
      </c>
      <c r="E223" s="1">
        <v>46023</v>
      </c>
      <c r="F223">
        <v>200</v>
      </c>
      <c r="G223" t="s">
        <v>35</v>
      </c>
      <c r="H223">
        <v>300</v>
      </c>
      <c r="I223">
        <v>182</v>
      </c>
      <c r="J223">
        <v>2341087.77</v>
      </c>
      <c r="K223">
        <v>363285.64</v>
      </c>
      <c r="L223">
        <f t="shared" si="9"/>
        <v>1977802.13</v>
      </c>
      <c r="M223" t="str">
        <f t="shared" si="10"/>
        <v>2026-01</v>
      </c>
      <c r="N223">
        <f t="shared" si="11"/>
        <v>0.60666666666666669</v>
      </c>
    </row>
    <row r="224" spans="1:14">
      <c r="A224" t="s">
        <v>343</v>
      </c>
      <c r="B224" t="s">
        <v>62</v>
      </c>
      <c r="C224" t="s">
        <v>52</v>
      </c>
      <c r="D224" t="s">
        <v>40</v>
      </c>
      <c r="E224" s="1">
        <v>46282</v>
      </c>
      <c r="F224">
        <v>473</v>
      </c>
      <c r="G224" t="s">
        <v>31</v>
      </c>
      <c r="H224">
        <v>180</v>
      </c>
      <c r="I224">
        <v>124</v>
      </c>
      <c r="J224">
        <v>891044.95</v>
      </c>
      <c r="K224">
        <v>363251.47</v>
      </c>
      <c r="L224">
        <f t="shared" si="9"/>
        <v>527793.48</v>
      </c>
      <c r="M224" t="str">
        <f t="shared" si="10"/>
        <v>2026-09</v>
      </c>
      <c r="N224">
        <f t="shared" si="11"/>
        <v>0.68888888888888888</v>
      </c>
    </row>
    <row r="225" spans="1:14">
      <c r="A225" t="s">
        <v>344</v>
      </c>
      <c r="B225" t="s">
        <v>124</v>
      </c>
      <c r="C225" t="s">
        <v>55</v>
      </c>
      <c r="D225" t="s">
        <v>49</v>
      </c>
      <c r="E225" s="1">
        <v>46166</v>
      </c>
      <c r="F225">
        <v>417</v>
      </c>
      <c r="G225" t="s">
        <v>35</v>
      </c>
      <c r="H225">
        <v>180</v>
      </c>
      <c r="I225">
        <v>62</v>
      </c>
      <c r="J225">
        <v>682139.69</v>
      </c>
      <c r="K225">
        <v>360123.73</v>
      </c>
      <c r="L225">
        <f t="shared" si="9"/>
        <v>322015.95999999996</v>
      </c>
      <c r="M225" t="str">
        <f t="shared" si="10"/>
        <v>2026-05</v>
      </c>
      <c r="N225">
        <f t="shared" si="11"/>
        <v>0.34444444444444444</v>
      </c>
    </row>
    <row r="226" spans="1:14">
      <c r="A226" t="s">
        <v>345</v>
      </c>
      <c r="B226" t="s">
        <v>144</v>
      </c>
      <c r="C226" t="s">
        <v>49</v>
      </c>
      <c r="D226" t="s">
        <v>55</v>
      </c>
      <c r="E226" s="1">
        <v>46075</v>
      </c>
      <c r="F226">
        <v>380</v>
      </c>
      <c r="G226" t="s">
        <v>41</v>
      </c>
      <c r="H226">
        <v>150</v>
      </c>
      <c r="I226">
        <v>79</v>
      </c>
      <c r="J226">
        <v>1165074.1000000001</v>
      </c>
      <c r="K226">
        <v>425529.16</v>
      </c>
      <c r="L226">
        <f t="shared" si="9"/>
        <v>739544.94000000018</v>
      </c>
      <c r="M226" t="str">
        <f t="shared" si="10"/>
        <v>2026-02</v>
      </c>
      <c r="N226">
        <f t="shared" si="11"/>
        <v>0.52666666666666662</v>
      </c>
    </row>
    <row r="227" spans="1:14">
      <c r="A227" t="s">
        <v>346</v>
      </c>
      <c r="B227" t="s">
        <v>96</v>
      </c>
      <c r="C227" t="s">
        <v>69</v>
      </c>
      <c r="D227" t="s">
        <v>30</v>
      </c>
      <c r="E227" s="1">
        <v>46096</v>
      </c>
      <c r="F227">
        <v>69</v>
      </c>
      <c r="G227" t="s">
        <v>35</v>
      </c>
      <c r="H227">
        <v>300</v>
      </c>
      <c r="I227">
        <v>103</v>
      </c>
      <c r="J227">
        <v>397714.9</v>
      </c>
      <c r="K227">
        <v>217470.41</v>
      </c>
      <c r="L227">
        <f t="shared" si="9"/>
        <v>180244.49000000002</v>
      </c>
      <c r="M227" t="str">
        <f t="shared" si="10"/>
        <v>2026-03</v>
      </c>
      <c r="N227">
        <f t="shared" si="11"/>
        <v>0.34333333333333332</v>
      </c>
    </row>
    <row r="228" spans="1:14">
      <c r="A228" t="s">
        <v>347</v>
      </c>
      <c r="B228" t="s">
        <v>153</v>
      </c>
      <c r="C228" t="s">
        <v>69</v>
      </c>
      <c r="D228" t="s">
        <v>40</v>
      </c>
      <c r="E228" s="1">
        <v>46286</v>
      </c>
      <c r="F228">
        <v>525</v>
      </c>
      <c r="G228" t="s">
        <v>35</v>
      </c>
      <c r="H228">
        <v>250</v>
      </c>
      <c r="I228">
        <v>208</v>
      </c>
      <c r="J228">
        <v>1333548.1399999999</v>
      </c>
      <c r="K228">
        <v>436681.92</v>
      </c>
      <c r="L228">
        <f t="shared" si="9"/>
        <v>896866.22</v>
      </c>
      <c r="M228" t="str">
        <f t="shared" si="10"/>
        <v>2026-09</v>
      </c>
      <c r="N228">
        <f t="shared" si="11"/>
        <v>0.83199999999999996</v>
      </c>
    </row>
    <row r="229" spans="1:14">
      <c r="A229" t="s">
        <v>348</v>
      </c>
      <c r="B229" t="s">
        <v>169</v>
      </c>
      <c r="C229" t="s">
        <v>34</v>
      </c>
      <c r="D229" t="s">
        <v>40</v>
      </c>
      <c r="E229" s="1">
        <v>46296</v>
      </c>
      <c r="F229">
        <v>155</v>
      </c>
      <c r="G229" t="s">
        <v>46</v>
      </c>
      <c r="H229">
        <v>180</v>
      </c>
      <c r="I229">
        <v>136</v>
      </c>
      <c r="J229">
        <v>1359890.96</v>
      </c>
      <c r="K229">
        <v>218166.03</v>
      </c>
      <c r="L229">
        <f t="shared" si="9"/>
        <v>1141724.93</v>
      </c>
      <c r="M229" t="str">
        <f t="shared" si="10"/>
        <v>2026-10</v>
      </c>
      <c r="N229">
        <f t="shared" si="11"/>
        <v>0.75555555555555554</v>
      </c>
    </row>
    <row r="230" spans="1:14">
      <c r="A230" t="s">
        <v>349</v>
      </c>
      <c r="B230" t="s">
        <v>167</v>
      </c>
      <c r="C230" t="s">
        <v>30</v>
      </c>
      <c r="D230" t="s">
        <v>69</v>
      </c>
      <c r="E230" s="1">
        <v>46129</v>
      </c>
      <c r="F230">
        <v>196</v>
      </c>
      <c r="G230" t="s">
        <v>31</v>
      </c>
      <c r="H230">
        <v>180</v>
      </c>
      <c r="I230">
        <v>149</v>
      </c>
      <c r="J230">
        <v>2069073.28</v>
      </c>
      <c r="K230">
        <v>317377.38</v>
      </c>
      <c r="L230">
        <f t="shared" si="9"/>
        <v>1751695.9</v>
      </c>
      <c r="M230" t="str">
        <f t="shared" si="10"/>
        <v>2026-04</v>
      </c>
      <c r="N230">
        <f t="shared" si="11"/>
        <v>0.82777777777777772</v>
      </c>
    </row>
    <row r="231" spans="1:14">
      <c r="A231" t="s">
        <v>350</v>
      </c>
      <c r="B231" t="s">
        <v>307</v>
      </c>
      <c r="C231" t="s">
        <v>40</v>
      </c>
      <c r="D231" t="s">
        <v>45</v>
      </c>
      <c r="E231" s="1">
        <v>46240</v>
      </c>
      <c r="F231">
        <v>234</v>
      </c>
      <c r="G231" t="s">
        <v>31</v>
      </c>
      <c r="H231">
        <v>150</v>
      </c>
      <c r="I231">
        <v>70</v>
      </c>
      <c r="J231">
        <v>945429.43</v>
      </c>
      <c r="K231">
        <v>221943.83</v>
      </c>
      <c r="L231">
        <f t="shared" si="9"/>
        <v>723485.60000000009</v>
      </c>
      <c r="M231" t="str">
        <f t="shared" si="10"/>
        <v>2026-08</v>
      </c>
      <c r="N231">
        <f t="shared" si="11"/>
        <v>0.46666666666666667</v>
      </c>
    </row>
    <row r="232" spans="1:14">
      <c r="A232" t="s">
        <v>351</v>
      </c>
      <c r="B232" t="s">
        <v>167</v>
      </c>
      <c r="C232" t="s">
        <v>30</v>
      </c>
      <c r="D232" t="s">
        <v>69</v>
      </c>
      <c r="E232" s="1">
        <v>46162</v>
      </c>
      <c r="F232">
        <v>352</v>
      </c>
      <c r="G232" t="s">
        <v>46</v>
      </c>
      <c r="H232">
        <v>150</v>
      </c>
      <c r="I232">
        <v>150</v>
      </c>
      <c r="J232">
        <v>1347427.44</v>
      </c>
      <c r="K232">
        <v>345893.6</v>
      </c>
      <c r="L232">
        <f t="shared" si="9"/>
        <v>1001533.84</v>
      </c>
      <c r="M232" t="str">
        <f t="shared" si="10"/>
        <v>2026-05</v>
      </c>
      <c r="N232">
        <f t="shared" si="11"/>
        <v>1</v>
      </c>
    </row>
    <row r="233" spans="1:14">
      <c r="A233" t="s">
        <v>352</v>
      </c>
      <c r="B233" t="s">
        <v>240</v>
      </c>
      <c r="C233" t="s">
        <v>55</v>
      </c>
      <c r="D233" t="s">
        <v>40</v>
      </c>
      <c r="E233" s="1">
        <v>46035</v>
      </c>
      <c r="F233">
        <v>269</v>
      </c>
      <c r="G233" t="s">
        <v>41</v>
      </c>
      <c r="H233">
        <v>150</v>
      </c>
      <c r="I233">
        <v>149</v>
      </c>
      <c r="J233">
        <v>1967422.23</v>
      </c>
      <c r="K233">
        <v>249418.48</v>
      </c>
      <c r="L233">
        <f t="shared" si="9"/>
        <v>1718003.75</v>
      </c>
      <c r="M233" t="str">
        <f t="shared" si="10"/>
        <v>2026-01</v>
      </c>
      <c r="N233">
        <f t="shared" si="11"/>
        <v>0.99333333333333329</v>
      </c>
    </row>
    <row r="234" spans="1:14">
      <c r="A234" t="s">
        <v>353</v>
      </c>
      <c r="B234" t="s">
        <v>83</v>
      </c>
      <c r="C234" t="s">
        <v>30</v>
      </c>
      <c r="D234" t="s">
        <v>40</v>
      </c>
      <c r="E234" s="1">
        <v>46195</v>
      </c>
      <c r="F234">
        <v>221</v>
      </c>
      <c r="G234" t="s">
        <v>41</v>
      </c>
      <c r="H234">
        <v>300</v>
      </c>
      <c r="I234">
        <v>57</v>
      </c>
      <c r="J234">
        <v>616721.6</v>
      </c>
      <c r="K234">
        <v>374761.03</v>
      </c>
      <c r="L234">
        <f t="shared" si="9"/>
        <v>241960.56999999995</v>
      </c>
      <c r="M234" t="str">
        <f t="shared" si="10"/>
        <v>2026-06</v>
      </c>
      <c r="N234">
        <f t="shared" si="11"/>
        <v>0.19</v>
      </c>
    </row>
    <row r="235" spans="1:14">
      <c r="A235" t="s">
        <v>354</v>
      </c>
      <c r="B235" t="s">
        <v>94</v>
      </c>
      <c r="C235" t="s">
        <v>34</v>
      </c>
      <c r="D235" t="s">
        <v>30</v>
      </c>
      <c r="E235" s="1">
        <v>46257</v>
      </c>
      <c r="F235">
        <v>286</v>
      </c>
      <c r="G235" t="s">
        <v>41</v>
      </c>
      <c r="H235">
        <v>150</v>
      </c>
      <c r="I235">
        <v>98</v>
      </c>
      <c r="J235">
        <v>425138.36</v>
      </c>
      <c r="K235">
        <v>321275.55</v>
      </c>
      <c r="L235">
        <f t="shared" si="9"/>
        <v>103862.81</v>
      </c>
      <c r="M235" t="str">
        <f t="shared" si="10"/>
        <v>2026-08</v>
      </c>
      <c r="N235">
        <f t="shared" si="11"/>
        <v>0.65333333333333332</v>
      </c>
    </row>
    <row r="236" spans="1:14">
      <c r="A236" t="s">
        <v>355</v>
      </c>
      <c r="B236" t="s">
        <v>33</v>
      </c>
      <c r="C236" t="s">
        <v>29</v>
      </c>
      <c r="D236" t="s">
        <v>34</v>
      </c>
      <c r="E236" s="1">
        <v>46185</v>
      </c>
      <c r="F236">
        <v>446</v>
      </c>
      <c r="G236" t="s">
        <v>31</v>
      </c>
      <c r="H236">
        <v>180</v>
      </c>
      <c r="I236">
        <v>66</v>
      </c>
      <c r="J236">
        <v>915604.18</v>
      </c>
      <c r="K236">
        <v>396256</v>
      </c>
      <c r="L236">
        <f t="shared" si="9"/>
        <v>519348.18000000005</v>
      </c>
      <c r="M236" t="str">
        <f t="shared" si="10"/>
        <v>2026-06</v>
      </c>
      <c r="N236">
        <f t="shared" si="11"/>
        <v>0.36666666666666664</v>
      </c>
    </row>
    <row r="237" spans="1:14">
      <c r="A237" t="s">
        <v>356</v>
      </c>
      <c r="B237" t="s">
        <v>357</v>
      </c>
      <c r="C237" t="s">
        <v>55</v>
      </c>
      <c r="D237" t="s">
        <v>52</v>
      </c>
      <c r="E237" s="1">
        <v>46294</v>
      </c>
      <c r="F237">
        <v>524</v>
      </c>
      <c r="G237" t="s">
        <v>35</v>
      </c>
      <c r="H237">
        <v>300</v>
      </c>
      <c r="I237">
        <v>235</v>
      </c>
      <c r="J237">
        <v>3122105.36</v>
      </c>
      <c r="K237">
        <v>623040.36</v>
      </c>
      <c r="L237">
        <f t="shared" si="9"/>
        <v>2499065</v>
      </c>
      <c r="M237" t="str">
        <f t="shared" si="10"/>
        <v>2026-09</v>
      </c>
      <c r="N237">
        <f t="shared" si="11"/>
        <v>0.78333333333333333</v>
      </c>
    </row>
    <row r="238" spans="1:14">
      <c r="A238" t="s">
        <v>358</v>
      </c>
      <c r="B238" t="s">
        <v>98</v>
      </c>
      <c r="C238" t="s">
        <v>40</v>
      </c>
      <c r="D238" t="s">
        <v>34</v>
      </c>
      <c r="E238" s="1">
        <v>46029</v>
      </c>
      <c r="F238">
        <v>71</v>
      </c>
      <c r="G238" t="s">
        <v>35</v>
      </c>
      <c r="H238">
        <v>300</v>
      </c>
      <c r="I238">
        <v>92</v>
      </c>
      <c r="J238">
        <v>1007960.11</v>
      </c>
      <c r="K238">
        <v>212754.59</v>
      </c>
      <c r="L238">
        <f t="shared" si="9"/>
        <v>795205.52</v>
      </c>
      <c r="M238" t="str">
        <f t="shared" si="10"/>
        <v>2026-01</v>
      </c>
      <c r="N238">
        <f t="shared" si="11"/>
        <v>0.30666666666666664</v>
      </c>
    </row>
    <row r="239" spans="1:14">
      <c r="A239" t="s">
        <v>359</v>
      </c>
      <c r="B239" t="s">
        <v>129</v>
      </c>
      <c r="C239" t="s">
        <v>45</v>
      </c>
      <c r="D239" t="s">
        <v>30</v>
      </c>
      <c r="E239" s="1">
        <v>46081</v>
      </c>
      <c r="F239">
        <v>254</v>
      </c>
      <c r="G239" t="s">
        <v>41</v>
      </c>
      <c r="H239">
        <v>150</v>
      </c>
      <c r="I239">
        <v>78</v>
      </c>
      <c r="J239">
        <v>464821</v>
      </c>
      <c r="K239">
        <v>288068.90000000002</v>
      </c>
      <c r="L239">
        <f t="shared" si="9"/>
        <v>176752.09999999998</v>
      </c>
      <c r="M239" t="str">
        <f t="shared" si="10"/>
        <v>2026-02</v>
      </c>
      <c r="N239">
        <f t="shared" si="11"/>
        <v>0.52</v>
      </c>
    </row>
    <row r="240" spans="1:14">
      <c r="A240" t="s">
        <v>360</v>
      </c>
      <c r="B240" t="s">
        <v>246</v>
      </c>
      <c r="C240" t="s">
        <v>52</v>
      </c>
      <c r="D240" t="s">
        <v>69</v>
      </c>
      <c r="E240" s="1">
        <v>46310</v>
      </c>
      <c r="F240">
        <v>599</v>
      </c>
      <c r="G240" t="s">
        <v>46</v>
      </c>
      <c r="H240">
        <v>150</v>
      </c>
      <c r="I240">
        <v>66</v>
      </c>
      <c r="J240">
        <v>376501.96</v>
      </c>
      <c r="K240">
        <v>456612.81</v>
      </c>
      <c r="L240">
        <f t="shared" si="9"/>
        <v>-80110.849999999977</v>
      </c>
      <c r="M240" t="str">
        <f t="shared" si="10"/>
        <v>2026-10</v>
      </c>
      <c r="N240">
        <f t="shared" si="11"/>
        <v>0.44</v>
      </c>
    </row>
    <row r="241" spans="1:14">
      <c r="A241" t="s">
        <v>361</v>
      </c>
      <c r="B241" t="s">
        <v>57</v>
      </c>
      <c r="C241" t="s">
        <v>52</v>
      </c>
      <c r="D241" t="s">
        <v>49</v>
      </c>
      <c r="E241" s="1">
        <v>46203</v>
      </c>
      <c r="F241">
        <v>515</v>
      </c>
      <c r="G241" t="s">
        <v>35</v>
      </c>
      <c r="H241">
        <v>300</v>
      </c>
      <c r="I241">
        <v>288</v>
      </c>
      <c r="J241">
        <v>1430372.82</v>
      </c>
      <c r="K241">
        <v>639236.22</v>
      </c>
      <c r="L241">
        <f t="shared" si="9"/>
        <v>791136.60000000009</v>
      </c>
      <c r="M241" t="str">
        <f t="shared" si="10"/>
        <v>2026-06</v>
      </c>
      <c r="N241">
        <f t="shared" si="11"/>
        <v>0.96</v>
      </c>
    </row>
    <row r="242" spans="1:14">
      <c r="A242" t="s">
        <v>362</v>
      </c>
      <c r="B242" t="s">
        <v>342</v>
      </c>
      <c r="C242" t="s">
        <v>30</v>
      </c>
      <c r="D242" t="s">
        <v>55</v>
      </c>
      <c r="E242" s="1">
        <v>46196</v>
      </c>
      <c r="F242">
        <v>301</v>
      </c>
      <c r="G242" t="s">
        <v>46</v>
      </c>
      <c r="H242">
        <v>150</v>
      </c>
      <c r="I242">
        <v>54</v>
      </c>
      <c r="J242">
        <v>484258.47</v>
      </c>
      <c r="K242">
        <v>274013.87</v>
      </c>
      <c r="L242">
        <f t="shared" si="9"/>
        <v>210244.59999999998</v>
      </c>
      <c r="M242" t="str">
        <f t="shared" si="10"/>
        <v>2026-06</v>
      </c>
      <c r="N242">
        <f t="shared" si="11"/>
        <v>0.36</v>
      </c>
    </row>
    <row r="243" spans="1:14">
      <c r="A243" t="s">
        <v>363</v>
      </c>
      <c r="B243" t="s">
        <v>364</v>
      </c>
      <c r="C243" t="s">
        <v>69</v>
      </c>
      <c r="D243" t="s">
        <v>49</v>
      </c>
      <c r="E243" s="1">
        <v>46083</v>
      </c>
      <c r="F243">
        <v>181</v>
      </c>
      <c r="G243" t="s">
        <v>41</v>
      </c>
      <c r="H243">
        <v>180</v>
      </c>
      <c r="I243">
        <v>87</v>
      </c>
      <c r="J243">
        <v>1230521.3400000001</v>
      </c>
      <c r="K243">
        <v>276900.25</v>
      </c>
      <c r="L243">
        <f t="shared" si="9"/>
        <v>953621.09000000008</v>
      </c>
      <c r="M243" t="str">
        <f t="shared" si="10"/>
        <v>2026-03</v>
      </c>
      <c r="N243">
        <f t="shared" si="11"/>
        <v>0.48333333333333334</v>
      </c>
    </row>
    <row r="244" spans="1:14">
      <c r="A244" t="s">
        <v>365</v>
      </c>
      <c r="B244" t="s">
        <v>129</v>
      </c>
      <c r="C244" t="s">
        <v>45</v>
      </c>
      <c r="D244" t="s">
        <v>30</v>
      </c>
      <c r="E244" s="1">
        <v>46183</v>
      </c>
      <c r="F244">
        <v>390</v>
      </c>
      <c r="G244" t="s">
        <v>41</v>
      </c>
      <c r="H244">
        <v>180</v>
      </c>
      <c r="I244">
        <v>60</v>
      </c>
      <c r="J244">
        <v>462137.97</v>
      </c>
      <c r="K244">
        <v>464938.06</v>
      </c>
      <c r="L244">
        <f t="shared" si="9"/>
        <v>-2800.0900000000256</v>
      </c>
      <c r="M244" t="str">
        <f t="shared" si="10"/>
        <v>2026-06</v>
      </c>
      <c r="N244">
        <f t="shared" si="11"/>
        <v>0.33333333333333331</v>
      </c>
    </row>
    <row r="245" spans="1:14">
      <c r="A245" t="s">
        <v>366</v>
      </c>
      <c r="B245" t="s">
        <v>79</v>
      </c>
      <c r="C245" t="s">
        <v>52</v>
      </c>
      <c r="D245" t="s">
        <v>45</v>
      </c>
      <c r="E245" s="1">
        <v>46161</v>
      </c>
      <c r="F245">
        <v>416</v>
      </c>
      <c r="G245" t="s">
        <v>41</v>
      </c>
      <c r="H245">
        <v>180</v>
      </c>
      <c r="I245">
        <v>68</v>
      </c>
      <c r="J245">
        <v>347693.9</v>
      </c>
      <c r="K245">
        <v>360304.29</v>
      </c>
      <c r="L245">
        <f t="shared" si="9"/>
        <v>-12610.389999999956</v>
      </c>
      <c r="M245" t="str">
        <f t="shared" si="10"/>
        <v>2026-05</v>
      </c>
      <c r="N245">
        <f t="shared" si="11"/>
        <v>0.37777777777777777</v>
      </c>
    </row>
    <row r="246" spans="1:14">
      <c r="A246" t="s">
        <v>367</v>
      </c>
      <c r="B246" t="s">
        <v>277</v>
      </c>
      <c r="C246" t="s">
        <v>45</v>
      </c>
      <c r="D246" t="s">
        <v>69</v>
      </c>
      <c r="E246" s="1">
        <v>46295</v>
      </c>
      <c r="F246">
        <v>304</v>
      </c>
      <c r="G246" t="s">
        <v>35</v>
      </c>
      <c r="H246">
        <v>180</v>
      </c>
      <c r="I246">
        <v>57</v>
      </c>
      <c r="J246">
        <v>281583.26</v>
      </c>
      <c r="K246">
        <v>343484.34</v>
      </c>
      <c r="L246">
        <f t="shared" si="9"/>
        <v>-61901.080000000016</v>
      </c>
      <c r="M246" t="str">
        <f t="shared" si="10"/>
        <v>2026-09</v>
      </c>
      <c r="N246">
        <f t="shared" si="11"/>
        <v>0.31666666666666665</v>
      </c>
    </row>
    <row r="247" spans="1:14">
      <c r="A247" t="s">
        <v>368</v>
      </c>
      <c r="B247" t="s">
        <v>54</v>
      </c>
      <c r="C247" t="s">
        <v>52</v>
      </c>
      <c r="D247" t="s">
        <v>55</v>
      </c>
      <c r="E247" s="1">
        <v>46115</v>
      </c>
      <c r="F247">
        <v>145</v>
      </c>
      <c r="G247" t="s">
        <v>35</v>
      </c>
      <c r="H247">
        <v>150</v>
      </c>
      <c r="I247">
        <v>86</v>
      </c>
      <c r="J247">
        <v>267327.7</v>
      </c>
      <c r="K247">
        <v>183738.48</v>
      </c>
      <c r="L247">
        <f t="shared" si="9"/>
        <v>83589.22</v>
      </c>
      <c r="M247" t="str">
        <f t="shared" si="10"/>
        <v>2026-04</v>
      </c>
      <c r="N247">
        <f t="shared" si="11"/>
        <v>0.57333333333333336</v>
      </c>
    </row>
    <row r="248" spans="1:14">
      <c r="A248" t="s">
        <v>369</v>
      </c>
      <c r="B248" t="s">
        <v>370</v>
      </c>
      <c r="C248" t="s">
        <v>44</v>
      </c>
      <c r="D248" t="s">
        <v>29</v>
      </c>
      <c r="E248" s="1">
        <v>46123</v>
      </c>
      <c r="F248">
        <v>214</v>
      </c>
      <c r="G248" t="s">
        <v>41</v>
      </c>
      <c r="H248">
        <v>150</v>
      </c>
      <c r="I248">
        <v>116</v>
      </c>
      <c r="J248">
        <v>1593342.77</v>
      </c>
      <c r="K248">
        <v>182066.33</v>
      </c>
      <c r="L248">
        <f t="shared" si="9"/>
        <v>1411276.44</v>
      </c>
      <c r="M248" t="str">
        <f t="shared" si="10"/>
        <v>2026-04</v>
      </c>
      <c r="N248">
        <f t="shared" si="11"/>
        <v>0.77333333333333332</v>
      </c>
    </row>
    <row r="249" spans="1:14">
      <c r="A249" t="s">
        <v>371</v>
      </c>
      <c r="B249" t="s">
        <v>226</v>
      </c>
      <c r="C249" t="s">
        <v>69</v>
      </c>
      <c r="D249" t="s">
        <v>55</v>
      </c>
      <c r="E249" s="1">
        <v>46111</v>
      </c>
      <c r="F249">
        <v>386</v>
      </c>
      <c r="G249" t="s">
        <v>41</v>
      </c>
      <c r="H249">
        <v>250</v>
      </c>
      <c r="I249">
        <v>197</v>
      </c>
      <c r="J249">
        <v>2374082.4</v>
      </c>
      <c r="K249">
        <v>566158.81999999995</v>
      </c>
      <c r="L249">
        <f t="shared" si="9"/>
        <v>1807923.58</v>
      </c>
      <c r="M249" t="str">
        <f t="shared" si="10"/>
        <v>2026-03</v>
      </c>
      <c r="N249">
        <f t="shared" si="11"/>
        <v>0.78800000000000003</v>
      </c>
    </row>
    <row r="250" spans="1:14">
      <c r="A250" t="s">
        <v>372</v>
      </c>
      <c r="B250" t="s">
        <v>173</v>
      </c>
      <c r="C250" t="s">
        <v>40</v>
      </c>
      <c r="D250" t="s">
        <v>49</v>
      </c>
      <c r="E250" s="1">
        <v>46203</v>
      </c>
      <c r="F250">
        <v>150</v>
      </c>
      <c r="G250" t="s">
        <v>46</v>
      </c>
      <c r="H250">
        <v>300</v>
      </c>
      <c r="I250">
        <v>242</v>
      </c>
      <c r="J250">
        <v>1424118.44</v>
      </c>
      <c r="K250">
        <v>245117.26</v>
      </c>
      <c r="L250">
        <f t="shared" si="9"/>
        <v>1179001.18</v>
      </c>
      <c r="M250" t="str">
        <f t="shared" si="10"/>
        <v>2026-06</v>
      </c>
      <c r="N250">
        <f t="shared" si="11"/>
        <v>0.80666666666666664</v>
      </c>
    </row>
    <row r="251" spans="1:14">
      <c r="A251" t="s">
        <v>373</v>
      </c>
      <c r="B251" t="s">
        <v>127</v>
      </c>
      <c r="C251" t="s">
        <v>40</v>
      </c>
      <c r="D251" t="s">
        <v>55</v>
      </c>
      <c r="E251" s="1">
        <v>46215</v>
      </c>
      <c r="F251">
        <v>460</v>
      </c>
      <c r="G251" t="s">
        <v>46</v>
      </c>
      <c r="H251">
        <v>180</v>
      </c>
      <c r="I251">
        <v>117</v>
      </c>
      <c r="J251">
        <v>1167597.7</v>
      </c>
      <c r="K251">
        <v>460589.77</v>
      </c>
      <c r="L251">
        <f t="shared" si="9"/>
        <v>707007.92999999993</v>
      </c>
      <c r="M251" t="str">
        <f t="shared" si="10"/>
        <v>2026-07</v>
      </c>
      <c r="N251">
        <f t="shared" si="11"/>
        <v>0.65</v>
      </c>
    </row>
    <row r="252" spans="1:14">
      <c r="A252" t="s">
        <v>374</v>
      </c>
      <c r="B252" t="s">
        <v>157</v>
      </c>
      <c r="C252" t="s">
        <v>45</v>
      </c>
      <c r="D252" t="s">
        <v>52</v>
      </c>
      <c r="E252" s="1">
        <v>46221</v>
      </c>
      <c r="F252">
        <v>362</v>
      </c>
      <c r="G252" t="s">
        <v>31</v>
      </c>
      <c r="H252">
        <v>250</v>
      </c>
      <c r="I252">
        <v>203</v>
      </c>
      <c r="J252">
        <v>2783271.84</v>
      </c>
      <c r="K252">
        <v>412288.12</v>
      </c>
      <c r="L252">
        <f t="shared" si="9"/>
        <v>2370983.7199999997</v>
      </c>
      <c r="M252" t="str">
        <f t="shared" si="10"/>
        <v>2026-07</v>
      </c>
      <c r="N252">
        <f t="shared" si="11"/>
        <v>0.81200000000000006</v>
      </c>
    </row>
    <row r="253" spans="1:14">
      <c r="A253" t="s">
        <v>375</v>
      </c>
      <c r="B253" t="s">
        <v>104</v>
      </c>
      <c r="C253" t="s">
        <v>34</v>
      </c>
      <c r="D253" t="s">
        <v>52</v>
      </c>
      <c r="E253" s="1">
        <v>46063</v>
      </c>
      <c r="F253">
        <v>427</v>
      </c>
      <c r="G253" t="s">
        <v>31</v>
      </c>
      <c r="H253">
        <v>300</v>
      </c>
      <c r="I253">
        <v>152</v>
      </c>
      <c r="J253">
        <v>515844.75</v>
      </c>
      <c r="K253">
        <v>553613.09</v>
      </c>
      <c r="L253">
        <f t="shared" si="9"/>
        <v>-37768.339999999967</v>
      </c>
      <c r="M253" t="str">
        <f t="shared" si="10"/>
        <v>2026-02</v>
      </c>
      <c r="N253">
        <f t="shared" si="11"/>
        <v>0.50666666666666671</v>
      </c>
    </row>
    <row r="254" spans="1:14">
      <c r="A254" t="s">
        <v>376</v>
      </c>
      <c r="B254" t="s">
        <v>107</v>
      </c>
      <c r="C254" t="s">
        <v>30</v>
      </c>
      <c r="D254" t="s">
        <v>45</v>
      </c>
      <c r="E254" s="1">
        <v>46186</v>
      </c>
      <c r="F254">
        <v>595</v>
      </c>
      <c r="G254" t="s">
        <v>35</v>
      </c>
      <c r="H254">
        <v>180</v>
      </c>
      <c r="I254">
        <v>53</v>
      </c>
      <c r="J254">
        <v>255414.47</v>
      </c>
      <c r="K254">
        <v>752305.3</v>
      </c>
      <c r="L254">
        <f t="shared" si="9"/>
        <v>-496890.83000000007</v>
      </c>
      <c r="M254" t="str">
        <f t="shared" si="10"/>
        <v>2026-06</v>
      </c>
      <c r="N254">
        <f t="shared" si="11"/>
        <v>0.29444444444444445</v>
      </c>
    </row>
    <row r="255" spans="1:14">
      <c r="A255" t="s">
        <v>377</v>
      </c>
      <c r="B255" t="s">
        <v>141</v>
      </c>
      <c r="C255" t="s">
        <v>69</v>
      </c>
      <c r="D255" t="s">
        <v>44</v>
      </c>
      <c r="E255" s="1">
        <v>46191</v>
      </c>
      <c r="F255">
        <v>568</v>
      </c>
      <c r="G255" t="s">
        <v>41</v>
      </c>
      <c r="H255">
        <v>300</v>
      </c>
      <c r="I255">
        <v>103</v>
      </c>
      <c r="J255">
        <v>756649.85</v>
      </c>
      <c r="K255">
        <v>721515.8</v>
      </c>
      <c r="L255">
        <f t="shared" si="9"/>
        <v>35134.04999999993</v>
      </c>
      <c r="M255" t="str">
        <f t="shared" si="10"/>
        <v>2026-06</v>
      </c>
      <c r="N255">
        <f t="shared" si="11"/>
        <v>0.34333333333333332</v>
      </c>
    </row>
    <row r="256" spans="1:14">
      <c r="A256" t="s">
        <v>378</v>
      </c>
      <c r="B256" t="s">
        <v>379</v>
      </c>
      <c r="C256" t="s">
        <v>44</v>
      </c>
      <c r="D256" t="s">
        <v>30</v>
      </c>
      <c r="E256" s="1">
        <v>46201</v>
      </c>
      <c r="F256">
        <v>401</v>
      </c>
      <c r="G256" t="s">
        <v>31</v>
      </c>
      <c r="H256">
        <v>300</v>
      </c>
      <c r="I256">
        <v>269</v>
      </c>
      <c r="J256">
        <v>1807952.89</v>
      </c>
      <c r="K256">
        <v>555895.13</v>
      </c>
      <c r="L256">
        <f t="shared" si="9"/>
        <v>1252057.7599999998</v>
      </c>
      <c r="M256" t="str">
        <f t="shared" si="10"/>
        <v>2026-06</v>
      </c>
      <c r="N256">
        <f t="shared" si="11"/>
        <v>0.89666666666666661</v>
      </c>
    </row>
    <row r="257" spans="1:14">
      <c r="A257" t="s">
        <v>380</v>
      </c>
      <c r="B257" t="s">
        <v>299</v>
      </c>
      <c r="C257" t="s">
        <v>34</v>
      </c>
      <c r="D257" t="s">
        <v>44</v>
      </c>
      <c r="E257" s="1">
        <v>46047</v>
      </c>
      <c r="F257">
        <v>171</v>
      </c>
      <c r="G257" t="s">
        <v>31</v>
      </c>
      <c r="H257">
        <v>250</v>
      </c>
      <c r="I257">
        <v>234</v>
      </c>
      <c r="J257">
        <v>1743602.35</v>
      </c>
      <c r="K257">
        <v>318462.24</v>
      </c>
      <c r="L257">
        <f t="shared" si="9"/>
        <v>1425140.11</v>
      </c>
      <c r="M257" t="str">
        <f t="shared" si="10"/>
        <v>2026-01</v>
      </c>
      <c r="N257">
        <f t="shared" si="11"/>
        <v>0.93600000000000005</v>
      </c>
    </row>
    <row r="258" spans="1:14">
      <c r="A258" t="s">
        <v>381</v>
      </c>
      <c r="B258" t="s">
        <v>94</v>
      </c>
      <c r="C258" t="s">
        <v>34</v>
      </c>
      <c r="D258" t="s">
        <v>30</v>
      </c>
      <c r="E258" s="1">
        <v>46081</v>
      </c>
      <c r="F258">
        <v>261</v>
      </c>
      <c r="G258" t="s">
        <v>35</v>
      </c>
      <c r="H258">
        <v>250</v>
      </c>
      <c r="I258">
        <v>211</v>
      </c>
      <c r="J258">
        <v>2609559.5099999998</v>
      </c>
      <c r="K258">
        <v>362155.29</v>
      </c>
      <c r="L258">
        <f t="shared" si="9"/>
        <v>2247404.2199999997</v>
      </c>
      <c r="M258" t="str">
        <f t="shared" si="10"/>
        <v>2026-02</v>
      </c>
      <c r="N258">
        <f t="shared" si="11"/>
        <v>0.84399999999999997</v>
      </c>
    </row>
    <row r="259" spans="1:14">
      <c r="A259" t="s">
        <v>382</v>
      </c>
      <c r="B259" t="s">
        <v>342</v>
      </c>
      <c r="C259" t="s">
        <v>30</v>
      </c>
      <c r="D259" t="s">
        <v>55</v>
      </c>
      <c r="E259" s="1">
        <v>46124</v>
      </c>
      <c r="F259">
        <v>250</v>
      </c>
      <c r="G259" t="s">
        <v>41</v>
      </c>
      <c r="H259">
        <v>250</v>
      </c>
      <c r="I259">
        <v>85</v>
      </c>
      <c r="J259">
        <v>1246868.3999999999</v>
      </c>
      <c r="K259">
        <v>328542.39</v>
      </c>
      <c r="L259">
        <f t="shared" ref="L259:L322" si="12">J259-K259</f>
        <v>918326.00999999989</v>
      </c>
      <c r="M259" t="str">
        <f t="shared" ref="M259:M322" si="13">TEXT(E259,"YYYY-MM")</f>
        <v>2026-04</v>
      </c>
      <c r="N259">
        <f t="shared" ref="N259:N322" si="14">I259/H259</f>
        <v>0.34</v>
      </c>
    </row>
    <row r="260" spans="1:14">
      <c r="A260" t="s">
        <v>383</v>
      </c>
      <c r="B260" t="s">
        <v>210</v>
      </c>
      <c r="C260" t="s">
        <v>55</v>
      </c>
      <c r="D260" t="s">
        <v>69</v>
      </c>
      <c r="E260" s="1">
        <v>46189</v>
      </c>
      <c r="F260">
        <v>568</v>
      </c>
      <c r="G260" t="s">
        <v>46</v>
      </c>
      <c r="H260">
        <v>150</v>
      </c>
      <c r="I260">
        <v>130</v>
      </c>
      <c r="J260">
        <v>438138.33</v>
      </c>
      <c r="K260">
        <v>379633.57</v>
      </c>
      <c r="L260">
        <f t="shared" si="12"/>
        <v>58504.760000000009</v>
      </c>
      <c r="M260" t="str">
        <f t="shared" si="13"/>
        <v>2026-06</v>
      </c>
      <c r="N260">
        <f t="shared" si="14"/>
        <v>0.8666666666666667</v>
      </c>
    </row>
    <row r="261" spans="1:14">
      <c r="A261" t="s">
        <v>384</v>
      </c>
      <c r="B261" t="s">
        <v>83</v>
      </c>
      <c r="C261" t="s">
        <v>30</v>
      </c>
      <c r="D261" t="s">
        <v>40</v>
      </c>
      <c r="E261" s="1">
        <v>46071</v>
      </c>
      <c r="F261">
        <v>135</v>
      </c>
      <c r="G261" t="s">
        <v>35</v>
      </c>
      <c r="H261">
        <v>250</v>
      </c>
      <c r="I261">
        <v>158</v>
      </c>
      <c r="J261">
        <v>2269683.9</v>
      </c>
      <c r="K261">
        <v>239396.45</v>
      </c>
      <c r="L261">
        <f t="shared" si="12"/>
        <v>2030287.45</v>
      </c>
      <c r="M261" t="str">
        <f t="shared" si="13"/>
        <v>2026-02</v>
      </c>
      <c r="N261">
        <f t="shared" si="14"/>
        <v>0.63200000000000001</v>
      </c>
    </row>
    <row r="262" spans="1:14">
      <c r="A262" t="s">
        <v>385</v>
      </c>
      <c r="B262" t="s">
        <v>357</v>
      </c>
      <c r="C262" t="s">
        <v>55</v>
      </c>
      <c r="D262" t="s">
        <v>52</v>
      </c>
      <c r="E262" s="1">
        <v>46100</v>
      </c>
      <c r="F262">
        <v>329</v>
      </c>
      <c r="G262" t="s">
        <v>46</v>
      </c>
      <c r="H262">
        <v>150</v>
      </c>
      <c r="I262">
        <v>53</v>
      </c>
      <c r="J262">
        <v>514511.68</v>
      </c>
      <c r="K262">
        <v>354900.54</v>
      </c>
      <c r="L262">
        <f t="shared" si="12"/>
        <v>159611.14000000001</v>
      </c>
      <c r="M262" t="str">
        <f t="shared" si="13"/>
        <v>2026-03</v>
      </c>
      <c r="N262">
        <f t="shared" si="14"/>
        <v>0.35333333333333333</v>
      </c>
    </row>
    <row r="263" spans="1:14">
      <c r="A263" t="s">
        <v>386</v>
      </c>
      <c r="B263" t="s">
        <v>167</v>
      </c>
      <c r="C263" t="s">
        <v>30</v>
      </c>
      <c r="D263" t="s">
        <v>69</v>
      </c>
      <c r="E263" s="1">
        <v>46035</v>
      </c>
      <c r="F263">
        <v>299</v>
      </c>
      <c r="G263" t="s">
        <v>35</v>
      </c>
      <c r="H263">
        <v>180</v>
      </c>
      <c r="I263">
        <v>129</v>
      </c>
      <c r="J263">
        <v>590894.86</v>
      </c>
      <c r="K263">
        <v>420606.4</v>
      </c>
      <c r="L263">
        <f t="shared" si="12"/>
        <v>170288.45999999996</v>
      </c>
      <c r="M263" t="str">
        <f t="shared" si="13"/>
        <v>2026-01</v>
      </c>
      <c r="N263">
        <f t="shared" si="14"/>
        <v>0.71666666666666667</v>
      </c>
    </row>
    <row r="264" spans="1:14">
      <c r="A264" t="s">
        <v>387</v>
      </c>
      <c r="B264" t="s">
        <v>357</v>
      </c>
      <c r="C264" t="s">
        <v>55</v>
      </c>
      <c r="D264" t="s">
        <v>52</v>
      </c>
      <c r="E264" s="1">
        <v>46029</v>
      </c>
      <c r="F264">
        <v>265</v>
      </c>
      <c r="G264" t="s">
        <v>35</v>
      </c>
      <c r="H264">
        <v>250</v>
      </c>
      <c r="I264">
        <v>244</v>
      </c>
      <c r="J264">
        <v>3222791.8</v>
      </c>
      <c r="K264">
        <v>439643.51</v>
      </c>
      <c r="L264">
        <f t="shared" si="12"/>
        <v>2783148.29</v>
      </c>
      <c r="M264" t="str">
        <f t="shared" si="13"/>
        <v>2026-01</v>
      </c>
      <c r="N264">
        <f t="shared" si="14"/>
        <v>0.97599999999999998</v>
      </c>
    </row>
    <row r="265" spans="1:14">
      <c r="A265" t="s">
        <v>388</v>
      </c>
      <c r="B265" t="s">
        <v>226</v>
      </c>
      <c r="C265" t="s">
        <v>69</v>
      </c>
      <c r="D265" t="s">
        <v>55</v>
      </c>
      <c r="E265" s="1">
        <v>46305</v>
      </c>
      <c r="F265">
        <v>199</v>
      </c>
      <c r="G265" t="s">
        <v>41</v>
      </c>
      <c r="H265">
        <v>180</v>
      </c>
      <c r="I265">
        <v>146</v>
      </c>
      <c r="J265">
        <v>1192306.45</v>
      </c>
      <c r="K265">
        <v>311803.24</v>
      </c>
      <c r="L265">
        <f t="shared" si="12"/>
        <v>880503.21</v>
      </c>
      <c r="M265" t="str">
        <f t="shared" si="13"/>
        <v>2026-10</v>
      </c>
      <c r="N265">
        <f t="shared" si="14"/>
        <v>0.81111111111111112</v>
      </c>
    </row>
    <row r="266" spans="1:14">
      <c r="A266" t="s">
        <v>389</v>
      </c>
      <c r="B266" t="s">
        <v>68</v>
      </c>
      <c r="C266" t="s">
        <v>69</v>
      </c>
      <c r="D266" t="s">
        <v>45</v>
      </c>
      <c r="E266" s="1">
        <v>46236</v>
      </c>
      <c r="F266">
        <v>256</v>
      </c>
      <c r="G266" t="s">
        <v>31</v>
      </c>
      <c r="H266">
        <v>180</v>
      </c>
      <c r="I266">
        <v>96</v>
      </c>
      <c r="J266">
        <v>727420.08</v>
      </c>
      <c r="K266">
        <v>393983.28</v>
      </c>
      <c r="L266">
        <f t="shared" si="12"/>
        <v>333436.79999999993</v>
      </c>
      <c r="M266" t="str">
        <f t="shared" si="13"/>
        <v>2026-08</v>
      </c>
      <c r="N266">
        <f t="shared" si="14"/>
        <v>0.53333333333333333</v>
      </c>
    </row>
    <row r="267" spans="1:14">
      <c r="A267" t="s">
        <v>390</v>
      </c>
      <c r="B267" t="s">
        <v>88</v>
      </c>
      <c r="C267" t="s">
        <v>55</v>
      </c>
      <c r="D267" t="s">
        <v>44</v>
      </c>
      <c r="E267" s="1">
        <v>46270</v>
      </c>
      <c r="F267">
        <v>463</v>
      </c>
      <c r="G267" t="s">
        <v>41</v>
      </c>
      <c r="H267">
        <v>300</v>
      </c>
      <c r="I267">
        <v>131</v>
      </c>
      <c r="J267">
        <v>1872680.29</v>
      </c>
      <c r="K267">
        <v>677964.35</v>
      </c>
      <c r="L267">
        <f t="shared" si="12"/>
        <v>1194715.94</v>
      </c>
      <c r="M267" t="str">
        <f t="shared" si="13"/>
        <v>2026-09</v>
      </c>
      <c r="N267">
        <f t="shared" si="14"/>
        <v>0.43666666666666665</v>
      </c>
    </row>
    <row r="268" spans="1:14">
      <c r="A268" t="s">
        <v>391</v>
      </c>
      <c r="B268" t="s">
        <v>165</v>
      </c>
      <c r="C268" t="s">
        <v>34</v>
      </c>
      <c r="D268" t="s">
        <v>29</v>
      </c>
      <c r="E268" s="1">
        <v>46104</v>
      </c>
      <c r="F268">
        <v>533</v>
      </c>
      <c r="G268" t="s">
        <v>35</v>
      </c>
      <c r="H268">
        <v>150</v>
      </c>
      <c r="I268">
        <v>98</v>
      </c>
      <c r="J268">
        <v>701512.42</v>
      </c>
      <c r="K268">
        <v>489849.18</v>
      </c>
      <c r="L268">
        <f t="shared" si="12"/>
        <v>211663.24000000005</v>
      </c>
      <c r="M268" t="str">
        <f t="shared" si="13"/>
        <v>2026-03</v>
      </c>
      <c r="N268">
        <f t="shared" si="14"/>
        <v>0.65333333333333332</v>
      </c>
    </row>
    <row r="269" spans="1:14">
      <c r="A269" t="s">
        <v>392</v>
      </c>
      <c r="B269" t="s">
        <v>307</v>
      </c>
      <c r="C269" t="s">
        <v>40</v>
      </c>
      <c r="D269" t="s">
        <v>45</v>
      </c>
      <c r="E269" s="1">
        <v>46044</v>
      </c>
      <c r="F269">
        <v>213</v>
      </c>
      <c r="G269" t="s">
        <v>31</v>
      </c>
      <c r="H269">
        <v>250</v>
      </c>
      <c r="I269">
        <v>88</v>
      </c>
      <c r="J269">
        <v>445748.8</v>
      </c>
      <c r="K269">
        <v>369495.36</v>
      </c>
      <c r="L269">
        <f t="shared" si="12"/>
        <v>76253.440000000002</v>
      </c>
      <c r="M269" t="str">
        <f t="shared" si="13"/>
        <v>2026-01</v>
      </c>
      <c r="N269">
        <f t="shared" si="14"/>
        <v>0.35199999999999998</v>
      </c>
    </row>
    <row r="270" spans="1:14">
      <c r="A270" t="s">
        <v>393</v>
      </c>
      <c r="B270" t="s">
        <v>116</v>
      </c>
      <c r="C270" t="s">
        <v>30</v>
      </c>
      <c r="D270" t="s">
        <v>44</v>
      </c>
      <c r="E270" s="1">
        <v>46312</v>
      </c>
      <c r="F270">
        <v>193</v>
      </c>
      <c r="G270" t="s">
        <v>31</v>
      </c>
      <c r="H270">
        <v>250</v>
      </c>
      <c r="I270">
        <v>59</v>
      </c>
      <c r="J270">
        <v>496086.02</v>
      </c>
      <c r="K270">
        <v>312294.77</v>
      </c>
      <c r="L270">
        <f t="shared" si="12"/>
        <v>183791.25</v>
      </c>
      <c r="M270" t="str">
        <f t="shared" si="13"/>
        <v>2026-10</v>
      </c>
      <c r="N270">
        <f t="shared" si="14"/>
        <v>0.23599999999999999</v>
      </c>
    </row>
    <row r="271" spans="1:14">
      <c r="A271" t="s">
        <v>394</v>
      </c>
      <c r="B271" t="s">
        <v>226</v>
      </c>
      <c r="C271" t="s">
        <v>69</v>
      </c>
      <c r="D271" t="s">
        <v>55</v>
      </c>
      <c r="E271" s="1">
        <v>46087</v>
      </c>
      <c r="F271">
        <v>213</v>
      </c>
      <c r="G271" t="s">
        <v>41</v>
      </c>
      <c r="H271">
        <v>180</v>
      </c>
      <c r="I271">
        <v>102</v>
      </c>
      <c r="J271">
        <v>1462357.18</v>
      </c>
      <c r="K271">
        <v>306317.40000000002</v>
      </c>
      <c r="L271">
        <f t="shared" si="12"/>
        <v>1156039.7799999998</v>
      </c>
      <c r="M271" t="str">
        <f t="shared" si="13"/>
        <v>2026-03</v>
      </c>
      <c r="N271">
        <f t="shared" si="14"/>
        <v>0.56666666666666665</v>
      </c>
    </row>
    <row r="272" spans="1:14">
      <c r="A272" t="s">
        <v>395</v>
      </c>
      <c r="B272" t="s">
        <v>33</v>
      </c>
      <c r="C272" t="s">
        <v>29</v>
      </c>
      <c r="D272" t="s">
        <v>34</v>
      </c>
      <c r="E272" s="1">
        <v>46090</v>
      </c>
      <c r="F272">
        <v>66</v>
      </c>
      <c r="G272" t="s">
        <v>41</v>
      </c>
      <c r="H272">
        <v>150</v>
      </c>
      <c r="I272">
        <v>85</v>
      </c>
      <c r="J272">
        <v>1213444.54</v>
      </c>
      <c r="K272">
        <v>118186.35</v>
      </c>
      <c r="L272">
        <f t="shared" si="12"/>
        <v>1095258.19</v>
      </c>
      <c r="M272" t="str">
        <f t="shared" si="13"/>
        <v>2026-03</v>
      </c>
      <c r="N272">
        <f t="shared" si="14"/>
        <v>0.56666666666666665</v>
      </c>
    </row>
    <row r="273" spans="1:14">
      <c r="A273" t="s">
        <v>396</v>
      </c>
      <c r="B273" t="s">
        <v>86</v>
      </c>
      <c r="C273" t="s">
        <v>45</v>
      </c>
      <c r="D273" t="s">
        <v>49</v>
      </c>
      <c r="E273" s="1">
        <v>46200</v>
      </c>
      <c r="F273">
        <v>478</v>
      </c>
      <c r="G273" t="s">
        <v>35</v>
      </c>
      <c r="H273">
        <v>250</v>
      </c>
      <c r="I273">
        <v>134</v>
      </c>
      <c r="J273">
        <v>1872594.25</v>
      </c>
      <c r="K273">
        <v>509223.42</v>
      </c>
      <c r="L273">
        <f t="shared" si="12"/>
        <v>1363370.83</v>
      </c>
      <c r="M273" t="str">
        <f t="shared" si="13"/>
        <v>2026-06</v>
      </c>
      <c r="N273">
        <f t="shared" si="14"/>
        <v>0.53600000000000003</v>
      </c>
    </row>
    <row r="274" spans="1:14">
      <c r="A274" t="s">
        <v>397</v>
      </c>
      <c r="B274" t="s">
        <v>102</v>
      </c>
      <c r="C274" t="s">
        <v>45</v>
      </c>
      <c r="D274" t="s">
        <v>55</v>
      </c>
      <c r="E274" s="1">
        <v>46063</v>
      </c>
      <c r="F274">
        <v>229</v>
      </c>
      <c r="G274" t="s">
        <v>46</v>
      </c>
      <c r="H274">
        <v>300</v>
      </c>
      <c r="I274">
        <v>286</v>
      </c>
      <c r="J274">
        <v>1171655.58</v>
      </c>
      <c r="K274">
        <v>296443.03000000003</v>
      </c>
      <c r="L274">
        <f t="shared" si="12"/>
        <v>875212.55</v>
      </c>
      <c r="M274" t="str">
        <f t="shared" si="13"/>
        <v>2026-02</v>
      </c>
      <c r="N274">
        <f t="shared" si="14"/>
        <v>0.95333333333333337</v>
      </c>
    </row>
    <row r="275" spans="1:14">
      <c r="A275" t="s">
        <v>398</v>
      </c>
      <c r="B275" t="s">
        <v>33</v>
      </c>
      <c r="C275" t="s">
        <v>29</v>
      </c>
      <c r="D275" t="s">
        <v>34</v>
      </c>
      <c r="E275" s="1">
        <v>46312</v>
      </c>
      <c r="F275">
        <v>355</v>
      </c>
      <c r="G275" t="s">
        <v>31</v>
      </c>
      <c r="H275">
        <v>150</v>
      </c>
      <c r="I275">
        <v>99</v>
      </c>
      <c r="J275">
        <v>1167487.3700000001</v>
      </c>
      <c r="K275">
        <v>403272.83</v>
      </c>
      <c r="L275">
        <f t="shared" si="12"/>
        <v>764214.54</v>
      </c>
      <c r="M275" t="str">
        <f t="shared" si="13"/>
        <v>2026-10</v>
      </c>
      <c r="N275">
        <f t="shared" si="14"/>
        <v>0.66</v>
      </c>
    </row>
    <row r="276" spans="1:14">
      <c r="A276" t="s">
        <v>399</v>
      </c>
      <c r="B276" t="s">
        <v>184</v>
      </c>
      <c r="C276" t="s">
        <v>29</v>
      </c>
      <c r="D276" t="s">
        <v>44</v>
      </c>
      <c r="E276" s="1">
        <v>46099</v>
      </c>
      <c r="F276">
        <v>563</v>
      </c>
      <c r="G276" t="s">
        <v>46</v>
      </c>
      <c r="H276">
        <v>250</v>
      </c>
      <c r="I276">
        <v>151</v>
      </c>
      <c r="J276">
        <v>1799101.27</v>
      </c>
      <c r="K276">
        <v>697313.24</v>
      </c>
      <c r="L276">
        <f t="shared" si="12"/>
        <v>1101788.03</v>
      </c>
      <c r="M276" t="str">
        <f t="shared" si="13"/>
        <v>2026-03</v>
      </c>
      <c r="N276">
        <f t="shared" si="14"/>
        <v>0.60399999999999998</v>
      </c>
    </row>
    <row r="277" spans="1:14">
      <c r="A277" t="s">
        <v>400</v>
      </c>
      <c r="B277" t="s">
        <v>147</v>
      </c>
      <c r="C277" t="s">
        <v>29</v>
      </c>
      <c r="D277" t="s">
        <v>49</v>
      </c>
      <c r="E277" s="1">
        <v>46317</v>
      </c>
      <c r="F277">
        <v>428</v>
      </c>
      <c r="G277" t="s">
        <v>35</v>
      </c>
      <c r="H277">
        <v>300</v>
      </c>
      <c r="I277">
        <v>146</v>
      </c>
      <c r="J277">
        <v>2006646.35</v>
      </c>
      <c r="K277">
        <v>563672.32999999996</v>
      </c>
      <c r="L277">
        <f t="shared" si="12"/>
        <v>1442974.02</v>
      </c>
      <c r="M277" t="str">
        <f t="shared" si="13"/>
        <v>2026-10</v>
      </c>
      <c r="N277">
        <f t="shared" si="14"/>
        <v>0.48666666666666669</v>
      </c>
    </row>
    <row r="278" spans="1:14">
      <c r="A278" t="s">
        <v>401</v>
      </c>
      <c r="B278" t="s">
        <v>208</v>
      </c>
      <c r="C278" t="s">
        <v>44</v>
      </c>
      <c r="D278" t="s">
        <v>49</v>
      </c>
      <c r="E278" s="1">
        <v>46190</v>
      </c>
      <c r="F278">
        <v>479</v>
      </c>
      <c r="G278" t="s">
        <v>46</v>
      </c>
      <c r="H278">
        <v>300</v>
      </c>
      <c r="I278">
        <v>156</v>
      </c>
      <c r="J278">
        <v>2220717.3199999998</v>
      </c>
      <c r="K278">
        <v>410961.33</v>
      </c>
      <c r="L278">
        <f t="shared" si="12"/>
        <v>1809755.9899999998</v>
      </c>
      <c r="M278" t="str">
        <f t="shared" si="13"/>
        <v>2026-06</v>
      </c>
      <c r="N278">
        <f t="shared" si="14"/>
        <v>0.52</v>
      </c>
    </row>
    <row r="279" spans="1:14">
      <c r="A279" t="s">
        <v>402</v>
      </c>
      <c r="B279" t="s">
        <v>66</v>
      </c>
      <c r="C279" t="s">
        <v>49</v>
      </c>
      <c r="D279" t="s">
        <v>45</v>
      </c>
      <c r="E279" s="1">
        <v>46157</v>
      </c>
      <c r="F279">
        <v>147</v>
      </c>
      <c r="G279" t="s">
        <v>35</v>
      </c>
      <c r="H279">
        <v>300</v>
      </c>
      <c r="I279">
        <v>256</v>
      </c>
      <c r="J279">
        <v>1631348.99</v>
      </c>
      <c r="K279">
        <v>296863.58</v>
      </c>
      <c r="L279">
        <f t="shared" si="12"/>
        <v>1334485.4099999999</v>
      </c>
      <c r="M279" t="str">
        <f t="shared" si="13"/>
        <v>2026-05</v>
      </c>
      <c r="N279">
        <f t="shared" si="14"/>
        <v>0.85333333333333339</v>
      </c>
    </row>
    <row r="280" spans="1:14">
      <c r="A280" t="s">
        <v>403</v>
      </c>
      <c r="B280" t="s">
        <v>33</v>
      </c>
      <c r="C280" t="s">
        <v>29</v>
      </c>
      <c r="D280" t="s">
        <v>34</v>
      </c>
      <c r="E280" s="1">
        <v>46224</v>
      </c>
      <c r="F280">
        <v>80</v>
      </c>
      <c r="G280" t="s">
        <v>46</v>
      </c>
      <c r="H280">
        <v>250</v>
      </c>
      <c r="I280">
        <v>244</v>
      </c>
      <c r="J280">
        <v>3115760.01</v>
      </c>
      <c r="K280">
        <v>203367.52</v>
      </c>
      <c r="L280">
        <f t="shared" si="12"/>
        <v>2912392.4899999998</v>
      </c>
      <c r="M280" t="str">
        <f t="shared" si="13"/>
        <v>2026-07</v>
      </c>
      <c r="N280">
        <f t="shared" si="14"/>
        <v>0.97599999999999998</v>
      </c>
    </row>
    <row r="281" spans="1:14">
      <c r="A281" t="s">
        <v>404</v>
      </c>
      <c r="B281" t="s">
        <v>129</v>
      </c>
      <c r="C281" t="s">
        <v>45</v>
      </c>
      <c r="D281" t="s">
        <v>30</v>
      </c>
      <c r="E281" s="1">
        <v>46256</v>
      </c>
      <c r="F281">
        <v>594</v>
      </c>
      <c r="G281" t="s">
        <v>41</v>
      </c>
      <c r="H281">
        <v>150</v>
      </c>
      <c r="I281">
        <v>110</v>
      </c>
      <c r="J281">
        <v>797001.69</v>
      </c>
      <c r="K281">
        <v>716513.42</v>
      </c>
      <c r="L281">
        <f t="shared" si="12"/>
        <v>80488.269999999902</v>
      </c>
      <c r="M281" t="str">
        <f t="shared" si="13"/>
        <v>2026-08</v>
      </c>
      <c r="N281">
        <f t="shared" si="14"/>
        <v>0.73333333333333328</v>
      </c>
    </row>
    <row r="282" spans="1:14">
      <c r="A282" t="s">
        <v>405</v>
      </c>
      <c r="B282" t="s">
        <v>299</v>
      </c>
      <c r="C282" t="s">
        <v>34</v>
      </c>
      <c r="D282" t="s">
        <v>44</v>
      </c>
      <c r="E282" s="1">
        <v>46317</v>
      </c>
      <c r="F282">
        <v>156</v>
      </c>
      <c r="G282" t="s">
        <v>41</v>
      </c>
      <c r="H282">
        <v>150</v>
      </c>
      <c r="I282">
        <v>110</v>
      </c>
      <c r="J282">
        <v>848404.58</v>
      </c>
      <c r="K282">
        <v>213428.13</v>
      </c>
      <c r="L282">
        <f t="shared" si="12"/>
        <v>634976.44999999995</v>
      </c>
      <c r="M282" t="str">
        <f t="shared" si="13"/>
        <v>2026-10</v>
      </c>
      <c r="N282">
        <f t="shared" si="14"/>
        <v>0.73333333333333328</v>
      </c>
    </row>
    <row r="283" spans="1:14">
      <c r="A283" t="s">
        <v>406</v>
      </c>
      <c r="B283" t="s">
        <v>407</v>
      </c>
      <c r="C283" t="s">
        <v>49</v>
      </c>
      <c r="D283" t="s">
        <v>29</v>
      </c>
      <c r="E283" s="1">
        <v>46098</v>
      </c>
      <c r="F283">
        <v>530</v>
      </c>
      <c r="G283" t="s">
        <v>35</v>
      </c>
      <c r="H283">
        <v>250</v>
      </c>
      <c r="I283">
        <v>207</v>
      </c>
      <c r="J283">
        <v>1711999.13</v>
      </c>
      <c r="K283">
        <v>616512.85</v>
      </c>
      <c r="L283">
        <f t="shared" si="12"/>
        <v>1095486.2799999998</v>
      </c>
      <c r="M283" t="str">
        <f t="shared" si="13"/>
        <v>2026-03</v>
      </c>
      <c r="N283">
        <f t="shared" si="14"/>
        <v>0.82799999999999996</v>
      </c>
    </row>
    <row r="284" spans="1:14">
      <c r="A284" t="s">
        <v>408</v>
      </c>
      <c r="B284" t="s">
        <v>28</v>
      </c>
      <c r="C284" t="s">
        <v>29</v>
      </c>
      <c r="D284" t="s">
        <v>30</v>
      </c>
      <c r="E284" s="1">
        <v>46107</v>
      </c>
      <c r="F284">
        <v>509</v>
      </c>
      <c r="G284" t="s">
        <v>41</v>
      </c>
      <c r="H284">
        <v>180</v>
      </c>
      <c r="I284">
        <v>157</v>
      </c>
      <c r="J284">
        <v>1441134.43</v>
      </c>
      <c r="K284">
        <v>401993.57</v>
      </c>
      <c r="L284">
        <f t="shared" si="12"/>
        <v>1039140.8599999999</v>
      </c>
      <c r="M284" t="str">
        <f t="shared" si="13"/>
        <v>2026-03</v>
      </c>
      <c r="N284">
        <f t="shared" si="14"/>
        <v>0.87222222222222223</v>
      </c>
    </row>
    <row r="285" spans="1:14">
      <c r="A285" t="s">
        <v>409</v>
      </c>
      <c r="B285" t="s">
        <v>202</v>
      </c>
      <c r="C285" t="s">
        <v>29</v>
      </c>
      <c r="D285" t="s">
        <v>55</v>
      </c>
      <c r="E285" s="1">
        <v>46137</v>
      </c>
      <c r="F285">
        <v>293</v>
      </c>
      <c r="G285" t="s">
        <v>35</v>
      </c>
      <c r="H285">
        <v>250</v>
      </c>
      <c r="I285">
        <v>216</v>
      </c>
      <c r="J285">
        <v>797641.76</v>
      </c>
      <c r="K285">
        <v>351700.84</v>
      </c>
      <c r="L285">
        <f t="shared" si="12"/>
        <v>445940.92</v>
      </c>
      <c r="M285" t="str">
        <f t="shared" si="13"/>
        <v>2026-04</v>
      </c>
      <c r="N285">
        <f t="shared" si="14"/>
        <v>0.86399999999999999</v>
      </c>
    </row>
    <row r="286" spans="1:14">
      <c r="A286" t="s">
        <v>410</v>
      </c>
      <c r="B286" t="s">
        <v>342</v>
      </c>
      <c r="C286" t="s">
        <v>30</v>
      </c>
      <c r="D286" t="s">
        <v>55</v>
      </c>
      <c r="E286" s="1">
        <v>46311</v>
      </c>
      <c r="F286">
        <v>540</v>
      </c>
      <c r="G286" t="s">
        <v>31</v>
      </c>
      <c r="H286">
        <v>250</v>
      </c>
      <c r="I286">
        <v>123</v>
      </c>
      <c r="J286">
        <v>976912.36</v>
      </c>
      <c r="K286">
        <v>679858.77</v>
      </c>
      <c r="L286">
        <f t="shared" si="12"/>
        <v>297053.58999999997</v>
      </c>
      <c r="M286" t="str">
        <f t="shared" si="13"/>
        <v>2026-10</v>
      </c>
      <c r="N286">
        <f t="shared" si="14"/>
        <v>0.49199999999999999</v>
      </c>
    </row>
    <row r="287" spans="1:14">
      <c r="A287" t="s">
        <v>411</v>
      </c>
      <c r="B287" t="s">
        <v>173</v>
      </c>
      <c r="C287" t="s">
        <v>40</v>
      </c>
      <c r="D287" t="s">
        <v>49</v>
      </c>
      <c r="E287" s="1">
        <v>46261</v>
      </c>
      <c r="F287">
        <v>264</v>
      </c>
      <c r="G287" t="s">
        <v>35</v>
      </c>
      <c r="H287">
        <v>150</v>
      </c>
      <c r="I287">
        <v>113</v>
      </c>
      <c r="J287">
        <v>1604320.53</v>
      </c>
      <c r="K287">
        <v>288144.86</v>
      </c>
      <c r="L287">
        <f t="shared" si="12"/>
        <v>1316175.67</v>
      </c>
      <c r="M287" t="str">
        <f t="shared" si="13"/>
        <v>2026-08</v>
      </c>
      <c r="N287">
        <f t="shared" si="14"/>
        <v>0.7533333333333333</v>
      </c>
    </row>
    <row r="288" spans="1:14">
      <c r="A288" t="s">
        <v>412</v>
      </c>
      <c r="B288" t="s">
        <v>57</v>
      </c>
      <c r="C288" t="s">
        <v>52</v>
      </c>
      <c r="D288" t="s">
        <v>49</v>
      </c>
      <c r="E288" s="1">
        <v>46125</v>
      </c>
      <c r="F288">
        <v>252</v>
      </c>
      <c r="G288" t="s">
        <v>41</v>
      </c>
      <c r="H288">
        <v>180</v>
      </c>
      <c r="I288">
        <v>66</v>
      </c>
      <c r="J288">
        <v>876988.65</v>
      </c>
      <c r="K288">
        <v>334760.67</v>
      </c>
      <c r="L288">
        <f t="shared" si="12"/>
        <v>542227.98</v>
      </c>
      <c r="M288" t="str">
        <f t="shared" si="13"/>
        <v>2026-04</v>
      </c>
      <c r="N288">
        <f t="shared" si="14"/>
        <v>0.36666666666666664</v>
      </c>
    </row>
    <row r="289" spans="1:14">
      <c r="A289" t="s">
        <v>413</v>
      </c>
      <c r="B289" t="s">
        <v>414</v>
      </c>
      <c r="C289" t="s">
        <v>40</v>
      </c>
      <c r="D289" t="s">
        <v>52</v>
      </c>
      <c r="E289" s="1">
        <v>46115</v>
      </c>
      <c r="F289">
        <v>564</v>
      </c>
      <c r="G289" t="s">
        <v>46</v>
      </c>
      <c r="H289">
        <v>300</v>
      </c>
      <c r="I289">
        <v>218</v>
      </c>
      <c r="J289">
        <v>1923007.63</v>
      </c>
      <c r="K289">
        <v>563716.49</v>
      </c>
      <c r="L289">
        <f t="shared" si="12"/>
        <v>1359291.14</v>
      </c>
      <c r="M289" t="str">
        <f t="shared" si="13"/>
        <v>2026-04</v>
      </c>
      <c r="N289">
        <f t="shared" si="14"/>
        <v>0.72666666666666668</v>
      </c>
    </row>
    <row r="290" spans="1:14">
      <c r="A290" t="s">
        <v>415</v>
      </c>
      <c r="B290" t="s">
        <v>149</v>
      </c>
      <c r="C290" t="s">
        <v>49</v>
      </c>
      <c r="D290" t="s">
        <v>69</v>
      </c>
      <c r="E290" s="1">
        <v>46293</v>
      </c>
      <c r="F290">
        <v>198</v>
      </c>
      <c r="G290" t="s">
        <v>41</v>
      </c>
      <c r="H290">
        <v>180</v>
      </c>
      <c r="I290">
        <v>79</v>
      </c>
      <c r="J290">
        <v>851089.97</v>
      </c>
      <c r="K290">
        <v>191149.45</v>
      </c>
      <c r="L290">
        <f t="shared" si="12"/>
        <v>659940.52</v>
      </c>
      <c r="M290" t="str">
        <f t="shared" si="13"/>
        <v>2026-09</v>
      </c>
      <c r="N290">
        <f t="shared" si="14"/>
        <v>0.43888888888888888</v>
      </c>
    </row>
    <row r="291" spans="1:14">
      <c r="A291" t="s">
        <v>416</v>
      </c>
      <c r="B291" t="s">
        <v>210</v>
      </c>
      <c r="C291" t="s">
        <v>55</v>
      </c>
      <c r="D291" t="s">
        <v>69</v>
      </c>
      <c r="E291" s="1">
        <v>46138</v>
      </c>
      <c r="F291">
        <v>108</v>
      </c>
      <c r="G291" t="s">
        <v>41</v>
      </c>
      <c r="H291">
        <v>180</v>
      </c>
      <c r="I291">
        <v>115</v>
      </c>
      <c r="J291">
        <v>1053448.1299999999</v>
      </c>
      <c r="K291">
        <v>218784.86</v>
      </c>
      <c r="L291">
        <f t="shared" si="12"/>
        <v>834663.2699999999</v>
      </c>
      <c r="M291" t="str">
        <f t="shared" si="13"/>
        <v>2026-04</v>
      </c>
      <c r="N291">
        <f t="shared" si="14"/>
        <v>0.63888888888888884</v>
      </c>
    </row>
    <row r="292" spans="1:14">
      <c r="A292" t="s">
        <v>417</v>
      </c>
      <c r="B292" t="s">
        <v>92</v>
      </c>
      <c r="C292" t="s">
        <v>44</v>
      </c>
      <c r="D292" t="s">
        <v>69</v>
      </c>
      <c r="E292" s="1">
        <v>46082</v>
      </c>
      <c r="F292">
        <v>181</v>
      </c>
      <c r="G292" t="s">
        <v>31</v>
      </c>
      <c r="H292">
        <v>250</v>
      </c>
      <c r="I292">
        <v>145</v>
      </c>
      <c r="J292">
        <v>449552.81</v>
      </c>
      <c r="K292">
        <v>243078.46</v>
      </c>
      <c r="L292">
        <f t="shared" si="12"/>
        <v>206474.35</v>
      </c>
      <c r="M292" t="str">
        <f t="shared" si="13"/>
        <v>2026-03</v>
      </c>
      <c r="N292">
        <f t="shared" si="14"/>
        <v>0.57999999999999996</v>
      </c>
    </row>
    <row r="293" spans="1:14">
      <c r="A293" t="s">
        <v>418</v>
      </c>
      <c r="B293" t="s">
        <v>54</v>
      </c>
      <c r="C293" t="s">
        <v>52</v>
      </c>
      <c r="D293" t="s">
        <v>55</v>
      </c>
      <c r="E293" s="1">
        <v>46158</v>
      </c>
      <c r="F293">
        <v>260</v>
      </c>
      <c r="G293" t="s">
        <v>46</v>
      </c>
      <c r="H293">
        <v>180</v>
      </c>
      <c r="I293">
        <v>150</v>
      </c>
      <c r="J293">
        <v>1387931.74</v>
      </c>
      <c r="K293">
        <v>283736.94</v>
      </c>
      <c r="L293">
        <f t="shared" si="12"/>
        <v>1104194.8</v>
      </c>
      <c r="M293" t="str">
        <f t="shared" si="13"/>
        <v>2026-05</v>
      </c>
      <c r="N293">
        <f t="shared" si="14"/>
        <v>0.83333333333333337</v>
      </c>
    </row>
    <row r="294" spans="1:14">
      <c r="A294" t="s">
        <v>419</v>
      </c>
      <c r="B294" t="s">
        <v>109</v>
      </c>
      <c r="C294" t="s">
        <v>30</v>
      </c>
      <c r="D294" t="s">
        <v>52</v>
      </c>
      <c r="E294" s="1">
        <v>46093</v>
      </c>
      <c r="F294">
        <v>151</v>
      </c>
      <c r="G294" t="s">
        <v>41</v>
      </c>
      <c r="H294">
        <v>250</v>
      </c>
      <c r="I294">
        <v>183</v>
      </c>
      <c r="J294">
        <v>2195951.25</v>
      </c>
      <c r="K294">
        <v>296499.75</v>
      </c>
      <c r="L294">
        <f t="shared" si="12"/>
        <v>1899451.5</v>
      </c>
      <c r="M294" t="str">
        <f t="shared" si="13"/>
        <v>2026-03</v>
      </c>
      <c r="N294">
        <f t="shared" si="14"/>
        <v>0.73199999999999998</v>
      </c>
    </row>
    <row r="295" spans="1:14">
      <c r="A295" t="s">
        <v>420</v>
      </c>
      <c r="B295" t="s">
        <v>39</v>
      </c>
      <c r="C295" t="s">
        <v>29</v>
      </c>
      <c r="D295" t="s">
        <v>40</v>
      </c>
      <c r="E295" s="1">
        <v>46084</v>
      </c>
      <c r="F295">
        <v>504</v>
      </c>
      <c r="G295" t="s">
        <v>41</v>
      </c>
      <c r="H295">
        <v>250</v>
      </c>
      <c r="I295">
        <v>103</v>
      </c>
      <c r="J295">
        <v>786358.02</v>
      </c>
      <c r="K295">
        <v>584624.54</v>
      </c>
      <c r="L295">
        <f t="shared" si="12"/>
        <v>201733.47999999998</v>
      </c>
      <c r="M295" t="str">
        <f t="shared" si="13"/>
        <v>2026-03</v>
      </c>
      <c r="N295">
        <f t="shared" si="14"/>
        <v>0.41199999999999998</v>
      </c>
    </row>
    <row r="296" spans="1:14">
      <c r="A296" t="s">
        <v>421</v>
      </c>
      <c r="B296" t="s">
        <v>141</v>
      </c>
      <c r="C296" t="s">
        <v>69</v>
      </c>
      <c r="D296" t="s">
        <v>44</v>
      </c>
      <c r="E296" s="1">
        <v>46103</v>
      </c>
      <c r="F296">
        <v>573</v>
      </c>
      <c r="G296" t="s">
        <v>46</v>
      </c>
      <c r="H296">
        <v>300</v>
      </c>
      <c r="I296">
        <v>164</v>
      </c>
      <c r="J296">
        <v>2109363.2999999998</v>
      </c>
      <c r="K296">
        <v>701029.77</v>
      </c>
      <c r="L296">
        <f t="shared" si="12"/>
        <v>1408333.5299999998</v>
      </c>
      <c r="M296" t="str">
        <f t="shared" si="13"/>
        <v>2026-03</v>
      </c>
      <c r="N296">
        <f t="shared" si="14"/>
        <v>0.54666666666666663</v>
      </c>
    </row>
    <row r="297" spans="1:14">
      <c r="A297" t="s">
        <v>422</v>
      </c>
      <c r="B297" t="s">
        <v>144</v>
      </c>
      <c r="C297" t="s">
        <v>49</v>
      </c>
      <c r="D297" t="s">
        <v>55</v>
      </c>
      <c r="E297" s="1">
        <v>46195</v>
      </c>
      <c r="F297">
        <v>215</v>
      </c>
      <c r="G297" t="s">
        <v>41</v>
      </c>
      <c r="H297">
        <v>180</v>
      </c>
      <c r="I297">
        <v>159</v>
      </c>
      <c r="J297">
        <v>894309.39</v>
      </c>
      <c r="K297">
        <v>287093.14</v>
      </c>
      <c r="L297">
        <f t="shared" si="12"/>
        <v>607216.25</v>
      </c>
      <c r="M297" t="str">
        <f t="shared" si="13"/>
        <v>2026-06</v>
      </c>
      <c r="N297">
        <f t="shared" si="14"/>
        <v>0.8833333333333333</v>
      </c>
    </row>
    <row r="298" spans="1:14">
      <c r="A298" t="s">
        <v>423</v>
      </c>
      <c r="B298" t="s">
        <v>169</v>
      </c>
      <c r="C298" t="s">
        <v>34</v>
      </c>
      <c r="D298" t="s">
        <v>40</v>
      </c>
      <c r="E298" s="1">
        <v>46226</v>
      </c>
      <c r="F298">
        <v>220</v>
      </c>
      <c r="G298" t="s">
        <v>35</v>
      </c>
      <c r="H298">
        <v>300</v>
      </c>
      <c r="I298">
        <v>50</v>
      </c>
      <c r="J298">
        <v>428394.08</v>
      </c>
      <c r="K298">
        <v>300656.67</v>
      </c>
      <c r="L298">
        <f t="shared" si="12"/>
        <v>127737.41000000003</v>
      </c>
      <c r="M298" t="str">
        <f t="shared" si="13"/>
        <v>2026-07</v>
      </c>
      <c r="N298">
        <f t="shared" si="14"/>
        <v>0.16666666666666666</v>
      </c>
    </row>
    <row r="299" spans="1:14">
      <c r="A299" t="s">
        <v>424</v>
      </c>
      <c r="B299" t="s">
        <v>184</v>
      </c>
      <c r="C299" t="s">
        <v>29</v>
      </c>
      <c r="D299" t="s">
        <v>44</v>
      </c>
      <c r="E299" s="1">
        <v>46078</v>
      </c>
      <c r="F299">
        <v>425</v>
      </c>
      <c r="G299" t="s">
        <v>31</v>
      </c>
      <c r="H299">
        <v>300</v>
      </c>
      <c r="I299">
        <v>281</v>
      </c>
      <c r="J299">
        <v>3325563.79</v>
      </c>
      <c r="K299">
        <v>492334.83</v>
      </c>
      <c r="L299">
        <f t="shared" si="12"/>
        <v>2833228.96</v>
      </c>
      <c r="M299" t="str">
        <f t="shared" si="13"/>
        <v>2026-02</v>
      </c>
      <c r="N299">
        <f t="shared" si="14"/>
        <v>0.93666666666666665</v>
      </c>
    </row>
    <row r="300" spans="1:14">
      <c r="A300" t="s">
        <v>425</v>
      </c>
      <c r="B300" t="s">
        <v>68</v>
      </c>
      <c r="C300" t="s">
        <v>69</v>
      </c>
      <c r="D300" t="s">
        <v>45</v>
      </c>
      <c r="E300" s="1">
        <v>46049</v>
      </c>
      <c r="F300">
        <v>335</v>
      </c>
      <c r="G300" t="s">
        <v>35</v>
      </c>
      <c r="H300">
        <v>250</v>
      </c>
      <c r="I300">
        <v>238</v>
      </c>
      <c r="J300">
        <v>2850813.25</v>
      </c>
      <c r="K300">
        <v>481662.95</v>
      </c>
      <c r="L300">
        <f t="shared" si="12"/>
        <v>2369150.2999999998</v>
      </c>
      <c r="M300" t="str">
        <f t="shared" si="13"/>
        <v>2026-01</v>
      </c>
      <c r="N300">
        <f t="shared" si="14"/>
        <v>0.95199999999999996</v>
      </c>
    </row>
    <row r="301" spans="1:14">
      <c r="A301" t="s">
        <v>426</v>
      </c>
      <c r="B301" t="s">
        <v>109</v>
      </c>
      <c r="C301" t="s">
        <v>30</v>
      </c>
      <c r="D301" t="s">
        <v>52</v>
      </c>
      <c r="E301" s="1">
        <v>46209</v>
      </c>
      <c r="F301">
        <v>558</v>
      </c>
      <c r="G301" t="s">
        <v>46</v>
      </c>
      <c r="H301">
        <v>250</v>
      </c>
      <c r="I301">
        <v>207</v>
      </c>
      <c r="J301">
        <v>1397940.53</v>
      </c>
      <c r="K301">
        <v>659585.99</v>
      </c>
      <c r="L301">
        <f t="shared" si="12"/>
        <v>738354.54</v>
      </c>
      <c r="M301" t="str">
        <f t="shared" si="13"/>
        <v>2026-07</v>
      </c>
      <c r="N301">
        <f t="shared" si="14"/>
        <v>0.82799999999999996</v>
      </c>
    </row>
    <row r="302" spans="1:14">
      <c r="A302" t="s">
        <v>427</v>
      </c>
      <c r="B302" t="s">
        <v>124</v>
      </c>
      <c r="C302" t="s">
        <v>55</v>
      </c>
      <c r="D302" t="s">
        <v>49</v>
      </c>
      <c r="E302" s="1">
        <v>46278</v>
      </c>
      <c r="F302">
        <v>294</v>
      </c>
      <c r="G302" t="s">
        <v>46</v>
      </c>
      <c r="H302">
        <v>250</v>
      </c>
      <c r="I302">
        <v>52</v>
      </c>
      <c r="J302">
        <v>545759.17000000004</v>
      </c>
      <c r="K302">
        <v>449900.36</v>
      </c>
      <c r="L302">
        <f t="shared" si="12"/>
        <v>95858.810000000056</v>
      </c>
      <c r="M302" t="str">
        <f t="shared" si="13"/>
        <v>2026-09</v>
      </c>
      <c r="N302">
        <f t="shared" si="14"/>
        <v>0.20799999999999999</v>
      </c>
    </row>
    <row r="303" spans="1:14">
      <c r="A303" t="s">
        <v>428</v>
      </c>
      <c r="B303" t="s">
        <v>83</v>
      </c>
      <c r="C303" t="s">
        <v>30</v>
      </c>
      <c r="D303" t="s">
        <v>40</v>
      </c>
      <c r="E303" s="1">
        <v>46096</v>
      </c>
      <c r="F303">
        <v>335</v>
      </c>
      <c r="G303" t="s">
        <v>35</v>
      </c>
      <c r="H303">
        <v>250</v>
      </c>
      <c r="I303">
        <v>136</v>
      </c>
      <c r="J303">
        <v>1922793.18</v>
      </c>
      <c r="K303">
        <v>510383.22</v>
      </c>
      <c r="L303">
        <f t="shared" si="12"/>
        <v>1412409.96</v>
      </c>
      <c r="M303" t="str">
        <f t="shared" si="13"/>
        <v>2026-03</v>
      </c>
      <c r="N303">
        <f t="shared" si="14"/>
        <v>0.54400000000000004</v>
      </c>
    </row>
    <row r="304" spans="1:14">
      <c r="A304" t="s">
        <v>429</v>
      </c>
      <c r="B304" t="s">
        <v>430</v>
      </c>
      <c r="C304" t="s">
        <v>49</v>
      </c>
      <c r="D304" t="s">
        <v>52</v>
      </c>
      <c r="E304" s="1">
        <v>46268</v>
      </c>
      <c r="F304">
        <v>172</v>
      </c>
      <c r="G304" t="s">
        <v>46</v>
      </c>
      <c r="H304">
        <v>300</v>
      </c>
      <c r="I304">
        <v>215</v>
      </c>
      <c r="J304">
        <v>2175348.21</v>
      </c>
      <c r="K304">
        <v>242423.1</v>
      </c>
      <c r="L304">
        <f t="shared" si="12"/>
        <v>1932925.1099999999</v>
      </c>
      <c r="M304" t="str">
        <f t="shared" si="13"/>
        <v>2026-09</v>
      </c>
      <c r="N304">
        <f t="shared" si="14"/>
        <v>0.71666666666666667</v>
      </c>
    </row>
    <row r="305" spans="1:14">
      <c r="A305" t="s">
        <v>431</v>
      </c>
      <c r="B305" t="s">
        <v>39</v>
      </c>
      <c r="C305" t="s">
        <v>29</v>
      </c>
      <c r="D305" t="s">
        <v>40</v>
      </c>
      <c r="E305" s="1">
        <v>46081</v>
      </c>
      <c r="F305">
        <v>570</v>
      </c>
      <c r="G305" t="s">
        <v>41</v>
      </c>
      <c r="H305">
        <v>150</v>
      </c>
      <c r="I305">
        <v>103</v>
      </c>
      <c r="J305">
        <v>649256.23</v>
      </c>
      <c r="K305">
        <v>422326.42</v>
      </c>
      <c r="L305">
        <f t="shared" si="12"/>
        <v>226929.81</v>
      </c>
      <c r="M305" t="str">
        <f t="shared" si="13"/>
        <v>2026-02</v>
      </c>
      <c r="N305">
        <f t="shared" si="14"/>
        <v>0.68666666666666665</v>
      </c>
    </row>
    <row r="306" spans="1:14">
      <c r="A306" t="s">
        <v>432</v>
      </c>
      <c r="B306" t="s">
        <v>357</v>
      </c>
      <c r="C306" t="s">
        <v>55</v>
      </c>
      <c r="D306" t="s">
        <v>52</v>
      </c>
      <c r="E306" s="1">
        <v>46164</v>
      </c>
      <c r="F306">
        <v>493</v>
      </c>
      <c r="G306" t="s">
        <v>35</v>
      </c>
      <c r="H306">
        <v>180</v>
      </c>
      <c r="I306">
        <v>161</v>
      </c>
      <c r="J306">
        <v>531234.74</v>
      </c>
      <c r="K306">
        <v>395661.93</v>
      </c>
      <c r="L306">
        <f t="shared" si="12"/>
        <v>135572.81</v>
      </c>
      <c r="M306" t="str">
        <f t="shared" si="13"/>
        <v>2026-05</v>
      </c>
      <c r="N306">
        <f t="shared" si="14"/>
        <v>0.89444444444444449</v>
      </c>
    </row>
    <row r="307" spans="1:14">
      <c r="A307" t="s">
        <v>433</v>
      </c>
      <c r="B307" t="s">
        <v>113</v>
      </c>
      <c r="C307" t="s">
        <v>44</v>
      </c>
      <c r="D307" t="s">
        <v>55</v>
      </c>
      <c r="E307" s="1">
        <v>46035</v>
      </c>
      <c r="F307">
        <v>497</v>
      </c>
      <c r="G307" t="s">
        <v>46</v>
      </c>
      <c r="H307">
        <v>250</v>
      </c>
      <c r="I307">
        <v>249</v>
      </c>
      <c r="J307">
        <v>1030586.42</v>
      </c>
      <c r="K307">
        <v>580181.4</v>
      </c>
      <c r="L307">
        <f t="shared" si="12"/>
        <v>450405.02</v>
      </c>
      <c r="M307" t="str">
        <f t="shared" si="13"/>
        <v>2026-01</v>
      </c>
      <c r="N307">
        <f t="shared" si="14"/>
        <v>0.996</v>
      </c>
    </row>
    <row r="308" spans="1:14">
      <c r="A308" t="s">
        <v>434</v>
      </c>
      <c r="B308" t="s">
        <v>122</v>
      </c>
      <c r="C308" t="s">
        <v>29</v>
      </c>
      <c r="D308" t="s">
        <v>45</v>
      </c>
      <c r="E308" s="1">
        <v>46257</v>
      </c>
      <c r="F308">
        <v>578</v>
      </c>
      <c r="G308" t="s">
        <v>35</v>
      </c>
      <c r="H308">
        <v>150</v>
      </c>
      <c r="I308">
        <v>108</v>
      </c>
      <c r="J308">
        <v>1472377.09</v>
      </c>
      <c r="K308">
        <v>443566.04</v>
      </c>
      <c r="L308">
        <f t="shared" si="12"/>
        <v>1028811.05</v>
      </c>
      <c r="M308" t="str">
        <f t="shared" si="13"/>
        <v>2026-08</v>
      </c>
      <c r="N308">
        <f t="shared" si="14"/>
        <v>0.72</v>
      </c>
    </row>
    <row r="309" spans="1:14">
      <c r="A309" t="s">
        <v>435</v>
      </c>
      <c r="B309" t="s">
        <v>186</v>
      </c>
      <c r="C309" t="s">
        <v>49</v>
      </c>
      <c r="D309" t="s">
        <v>30</v>
      </c>
      <c r="E309" s="1">
        <v>46261</v>
      </c>
      <c r="F309">
        <v>282</v>
      </c>
      <c r="G309" t="s">
        <v>31</v>
      </c>
      <c r="H309">
        <v>150</v>
      </c>
      <c r="I309">
        <v>57</v>
      </c>
      <c r="J309">
        <v>814488.94</v>
      </c>
      <c r="K309">
        <v>369164.94</v>
      </c>
      <c r="L309">
        <f t="shared" si="12"/>
        <v>445323.99999999994</v>
      </c>
      <c r="M309" t="str">
        <f t="shared" si="13"/>
        <v>2026-08</v>
      </c>
      <c r="N309">
        <f t="shared" si="14"/>
        <v>0.38</v>
      </c>
    </row>
    <row r="310" spans="1:14">
      <c r="A310" t="s">
        <v>436</v>
      </c>
      <c r="B310" t="s">
        <v>120</v>
      </c>
      <c r="C310" t="s">
        <v>52</v>
      </c>
      <c r="D310" t="s">
        <v>34</v>
      </c>
      <c r="E310" s="1">
        <v>46033</v>
      </c>
      <c r="F310">
        <v>157</v>
      </c>
      <c r="G310" t="s">
        <v>46</v>
      </c>
      <c r="H310">
        <v>250</v>
      </c>
      <c r="I310">
        <v>157</v>
      </c>
      <c r="J310">
        <v>787734.55</v>
      </c>
      <c r="K310">
        <v>255697.11</v>
      </c>
      <c r="L310">
        <f t="shared" si="12"/>
        <v>532037.44000000006</v>
      </c>
      <c r="M310" t="str">
        <f t="shared" si="13"/>
        <v>2026-01</v>
      </c>
      <c r="N310">
        <f t="shared" si="14"/>
        <v>0.628</v>
      </c>
    </row>
    <row r="311" spans="1:14">
      <c r="A311" t="s">
        <v>437</v>
      </c>
      <c r="B311" t="s">
        <v>256</v>
      </c>
      <c r="C311" t="s">
        <v>45</v>
      </c>
      <c r="D311" t="s">
        <v>44</v>
      </c>
      <c r="E311" s="1">
        <v>46148</v>
      </c>
      <c r="F311">
        <v>355</v>
      </c>
      <c r="G311" t="s">
        <v>35</v>
      </c>
      <c r="H311">
        <v>300</v>
      </c>
      <c r="I311">
        <v>200</v>
      </c>
      <c r="J311">
        <v>2515903.67</v>
      </c>
      <c r="K311">
        <v>408574.1</v>
      </c>
      <c r="L311">
        <f t="shared" si="12"/>
        <v>2107329.5699999998</v>
      </c>
      <c r="M311" t="str">
        <f t="shared" si="13"/>
        <v>2026-05</v>
      </c>
      <c r="N311">
        <f t="shared" si="14"/>
        <v>0.66666666666666663</v>
      </c>
    </row>
    <row r="312" spans="1:14">
      <c r="A312" t="s">
        <v>438</v>
      </c>
      <c r="B312" t="s">
        <v>182</v>
      </c>
      <c r="C312" t="s">
        <v>45</v>
      </c>
      <c r="D312" t="s">
        <v>34</v>
      </c>
      <c r="E312" s="1">
        <v>46058</v>
      </c>
      <c r="F312">
        <v>160</v>
      </c>
      <c r="G312" t="s">
        <v>46</v>
      </c>
      <c r="H312">
        <v>180</v>
      </c>
      <c r="I312">
        <v>53</v>
      </c>
      <c r="J312">
        <v>252442.34</v>
      </c>
      <c r="K312">
        <v>208376.26</v>
      </c>
      <c r="L312">
        <f t="shared" si="12"/>
        <v>44066.079999999987</v>
      </c>
      <c r="M312" t="str">
        <f t="shared" si="13"/>
        <v>2026-02</v>
      </c>
      <c r="N312">
        <f t="shared" si="14"/>
        <v>0.29444444444444445</v>
      </c>
    </row>
    <row r="313" spans="1:14">
      <c r="A313" t="s">
        <v>439</v>
      </c>
      <c r="B313" t="s">
        <v>113</v>
      </c>
      <c r="C313" t="s">
        <v>44</v>
      </c>
      <c r="D313" t="s">
        <v>55</v>
      </c>
      <c r="E313" s="1">
        <v>46212</v>
      </c>
      <c r="F313">
        <v>512</v>
      </c>
      <c r="G313" t="s">
        <v>35</v>
      </c>
      <c r="H313">
        <v>180</v>
      </c>
      <c r="I313">
        <v>59</v>
      </c>
      <c r="J313">
        <v>534900.19999999995</v>
      </c>
      <c r="K313">
        <v>397637.84</v>
      </c>
      <c r="L313">
        <f t="shared" si="12"/>
        <v>137262.35999999993</v>
      </c>
      <c r="M313" t="str">
        <f t="shared" si="13"/>
        <v>2026-07</v>
      </c>
      <c r="N313">
        <f t="shared" si="14"/>
        <v>0.32777777777777778</v>
      </c>
    </row>
    <row r="314" spans="1:14">
      <c r="A314" t="s">
        <v>440</v>
      </c>
      <c r="B314" t="s">
        <v>144</v>
      </c>
      <c r="C314" t="s">
        <v>49</v>
      </c>
      <c r="D314" t="s">
        <v>55</v>
      </c>
      <c r="E314" s="1">
        <v>46206</v>
      </c>
      <c r="F314">
        <v>285</v>
      </c>
      <c r="G314" t="s">
        <v>41</v>
      </c>
      <c r="H314">
        <v>180</v>
      </c>
      <c r="I314">
        <v>138</v>
      </c>
      <c r="J314">
        <v>1365020.22</v>
      </c>
      <c r="K314">
        <v>365608.86</v>
      </c>
      <c r="L314">
        <f t="shared" si="12"/>
        <v>999411.36</v>
      </c>
      <c r="M314" t="str">
        <f t="shared" si="13"/>
        <v>2026-07</v>
      </c>
      <c r="N314">
        <f t="shared" si="14"/>
        <v>0.76666666666666672</v>
      </c>
    </row>
    <row r="315" spans="1:14">
      <c r="A315" t="s">
        <v>441</v>
      </c>
      <c r="B315" t="s">
        <v>81</v>
      </c>
      <c r="C315" t="s">
        <v>34</v>
      </c>
      <c r="D315" t="s">
        <v>69</v>
      </c>
      <c r="E315" s="1">
        <v>46170</v>
      </c>
      <c r="F315">
        <v>277</v>
      </c>
      <c r="G315" t="s">
        <v>31</v>
      </c>
      <c r="H315">
        <v>150</v>
      </c>
      <c r="I315">
        <v>131</v>
      </c>
      <c r="J315">
        <v>1133203.48</v>
      </c>
      <c r="K315">
        <v>340709.07</v>
      </c>
      <c r="L315">
        <f t="shared" si="12"/>
        <v>792494.40999999992</v>
      </c>
      <c r="M315" t="str">
        <f t="shared" si="13"/>
        <v>2026-05</v>
      </c>
      <c r="N315">
        <f t="shared" si="14"/>
        <v>0.87333333333333329</v>
      </c>
    </row>
    <row r="316" spans="1:14">
      <c r="A316" t="s">
        <v>442</v>
      </c>
      <c r="B316" t="s">
        <v>226</v>
      </c>
      <c r="C316" t="s">
        <v>69</v>
      </c>
      <c r="D316" t="s">
        <v>55</v>
      </c>
      <c r="E316" s="1">
        <v>46317</v>
      </c>
      <c r="F316">
        <v>246</v>
      </c>
      <c r="G316" t="s">
        <v>41</v>
      </c>
      <c r="H316">
        <v>300</v>
      </c>
      <c r="I316">
        <v>111</v>
      </c>
      <c r="J316">
        <v>1536192.96</v>
      </c>
      <c r="K316">
        <v>426237.98</v>
      </c>
      <c r="L316">
        <f t="shared" si="12"/>
        <v>1109954.98</v>
      </c>
      <c r="M316" t="str">
        <f t="shared" si="13"/>
        <v>2026-10</v>
      </c>
      <c r="N316">
        <f t="shared" si="14"/>
        <v>0.37</v>
      </c>
    </row>
    <row r="317" spans="1:14">
      <c r="A317" t="s">
        <v>443</v>
      </c>
      <c r="B317" t="s">
        <v>307</v>
      </c>
      <c r="C317" t="s">
        <v>40</v>
      </c>
      <c r="D317" t="s">
        <v>45</v>
      </c>
      <c r="E317" s="1">
        <v>46117</v>
      </c>
      <c r="F317">
        <v>369</v>
      </c>
      <c r="G317" t="s">
        <v>35</v>
      </c>
      <c r="H317">
        <v>300</v>
      </c>
      <c r="I317">
        <v>88</v>
      </c>
      <c r="J317">
        <v>1248532.83</v>
      </c>
      <c r="K317">
        <v>526055.96</v>
      </c>
      <c r="L317">
        <f t="shared" si="12"/>
        <v>722476.87000000011</v>
      </c>
      <c r="M317" t="str">
        <f t="shared" si="13"/>
        <v>2026-04</v>
      </c>
      <c r="N317">
        <f t="shared" si="14"/>
        <v>0.29333333333333333</v>
      </c>
    </row>
    <row r="318" spans="1:14">
      <c r="A318" t="s">
        <v>444</v>
      </c>
      <c r="B318" t="s">
        <v>116</v>
      </c>
      <c r="C318" t="s">
        <v>30</v>
      </c>
      <c r="D318" t="s">
        <v>44</v>
      </c>
      <c r="E318" s="1">
        <v>46268</v>
      </c>
      <c r="F318">
        <v>465</v>
      </c>
      <c r="G318" t="s">
        <v>35</v>
      </c>
      <c r="H318">
        <v>150</v>
      </c>
      <c r="I318">
        <v>87</v>
      </c>
      <c r="J318">
        <v>1273603.29</v>
      </c>
      <c r="K318">
        <v>493445.28</v>
      </c>
      <c r="L318">
        <f t="shared" si="12"/>
        <v>780158.01</v>
      </c>
      <c r="M318" t="str">
        <f t="shared" si="13"/>
        <v>2026-09</v>
      </c>
      <c r="N318">
        <f t="shared" si="14"/>
        <v>0.57999999999999996</v>
      </c>
    </row>
    <row r="319" spans="1:14">
      <c r="A319" t="s">
        <v>445</v>
      </c>
      <c r="B319" t="s">
        <v>71</v>
      </c>
      <c r="C319" t="s">
        <v>44</v>
      </c>
      <c r="D319" t="s">
        <v>40</v>
      </c>
      <c r="E319" s="1">
        <v>46199</v>
      </c>
      <c r="F319">
        <v>408</v>
      </c>
      <c r="G319" t="s">
        <v>31</v>
      </c>
      <c r="H319">
        <v>150</v>
      </c>
      <c r="I319">
        <v>111</v>
      </c>
      <c r="J319">
        <v>1649710.84</v>
      </c>
      <c r="K319">
        <v>286207.78999999998</v>
      </c>
      <c r="L319">
        <f t="shared" si="12"/>
        <v>1363503.05</v>
      </c>
      <c r="M319" t="str">
        <f t="shared" si="13"/>
        <v>2026-06</v>
      </c>
      <c r="N319">
        <f t="shared" si="14"/>
        <v>0.74</v>
      </c>
    </row>
    <row r="320" spans="1:14">
      <c r="A320" t="s">
        <v>446</v>
      </c>
      <c r="B320" t="s">
        <v>302</v>
      </c>
      <c r="C320" t="s">
        <v>30</v>
      </c>
      <c r="D320" t="s">
        <v>34</v>
      </c>
      <c r="E320" s="1">
        <v>46136</v>
      </c>
      <c r="F320">
        <v>335</v>
      </c>
      <c r="G320" t="s">
        <v>35</v>
      </c>
      <c r="H320">
        <v>150</v>
      </c>
      <c r="I320">
        <v>130</v>
      </c>
      <c r="J320">
        <v>627195.77</v>
      </c>
      <c r="K320">
        <v>349976.88</v>
      </c>
      <c r="L320">
        <f t="shared" si="12"/>
        <v>277218.89</v>
      </c>
      <c r="M320" t="str">
        <f t="shared" si="13"/>
        <v>2026-04</v>
      </c>
      <c r="N320">
        <f t="shared" si="14"/>
        <v>0.8666666666666667</v>
      </c>
    </row>
    <row r="321" spans="1:14">
      <c r="A321" t="s">
        <v>447</v>
      </c>
      <c r="B321" t="s">
        <v>364</v>
      </c>
      <c r="C321" t="s">
        <v>69</v>
      </c>
      <c r="D321" t="s">
        <v>49</v>
      </c>
      <c r="E321" s="1">
        <v>46286</v>
      </c>
      <c r="F321">
        <v>374</v>
      </c>
      <c r="G321" t="s">
        <v>46</v>
      </c>
      <c r="H321">
        <v>250</v>
      </c>
      <c r="I321">
        <v>236</v>
      </c>
      <c r="J321">
        <v>2378732.4</v>
      </c>
      <c r="K321">
        <v>313684.74</v>
      </c>
      <c r="L321">
        <f t="shared" si="12"/>
        <v>2065047.66</v>
      </c>
      <c r="M321" t="str">
        <f t="shared" si="13"/>
        <v>2026-09</v>
      </c>
      <c r="N321">
        <f t="shared" si="14"/>
        <v>0.94399999999999995</v>
      </c>
    </row>
    <row r="322" spans="1:14">
      <c r="A322" t="s">
        <v>448</v>
      </c>
      <c r="B322" t="s">
        <v>144</v>
      </c>
      <c r="C322" t="s">
        <v>49</v>
      </c>
      <c r="D322" t="s">
        <v>55</v>
      </c>
      <c r="E322" s="1">
        <v>46118</v>
      </c>
      <c r="F322">
        <v>557</v>
      </c>
      <c r="G322" t="s">
        <v>41</v>
      </c>
      <c r="H322">
        <v>180</v>
      </c>
      <c r="I322">
        <v>143</v>
      </c>
      <c r="J322">
        <v>1245280.3</v>
      </c>
      <c r="K322">
        <v>631448.42000000004</v>
      </c>
      <c r="L322">
        <f t="shared" si="12"/>
        <v>613831.88</v>
      </c>
      <c r="M322" t="str">
        <f t="shared" si="13"/>
        <v>2026-04</v>
      </c>
      <c r="N322">
        <f t="shared" si="14"/>
        <v>0.7944444444444444</v>
      </c>
    </row>
    <row r="323" spans="1:14">
      <c r="A323" t="s">
        <v>449</v>
      </c>
      <c r="B323" t="s">
        <v>260</v>
      </c>
      <c r="C323" t="s">
        <v>69</v>
      </c>
      <c r="D323" t="s">
        <v>29</v>
      </c>
      <c r="E323" s="1">
        <v>46075</v>
      </c>
      <c r="F323">
        <v>530</v>
      </c>
      <c r="G323" t="s">
        <v>35</v>
      </c>
      <c r="H323">
        <v>300</v>
      </c>
      <c r="I323">
        <v>207</v>
      </c>
      <c r="J323">
        <v>1990081.35</v>
      </c>
      <c r="K323">
        <v>577564.27</v>
      </c>
      <c r="L323">
        <f t="shared" ref="L323:L386" si="15">J323-K323</f>
        <v>1412517.08</v>
      </c>
      <c r="M323" t="str">
        <f t="shared" ref="M323:M386" si="16">TEXT(E323,"YYYY-MM")</f>
        <v>2026-02</v>
      </c>
      <c r="N323">
        <f t="shared" ref="N323:N386" si="17">I323/H323</f>
        <v>0.69</v>
      </c>
    </row>
    <row r="324" spans="1:14">
      <c r="A324" t="s">
        <v>450</v>
      </c>
      <c r="B324" t="s">
        <v>226</v>
      </c>
      <c r="C324" t="s">
        <v>69</v>
      </c>
      <c r="D324" t="s">
        <v>55</v>
      </c>
      <c r="E324" s="1">
        <v>46293</v>
      </c>
      <c r="F324">
        <v>199</v>
      </c>
      <c r="G324" t="s">
        <v>41</v>
      </c>
      <c r="H324">
        <v>150</v>
      </c>
      <c r="I324">
        <v>127</v>
      </c>
      <c r="J324">
        <v>1775407.98</v>
      </c>
      <c r="K324">
        <v>200847.08</v>
      </c>
      <c r="L324">
        <f t="shared" si="15"/>
        <v>1574560.9</v>
      </c>
      <c r="M324" t="str">
        <f t="shared" si="16"/>
        <v>2026-09</v>
      </c>
      <c r="N324">
        <f t="shared" si="17"/>
        <v>0.84666666666666668</v>
      </c>
    </row>
    <row r="325" spans="1:14">
      <c r="A325" t="s">
        <v>451</v>
      </c>
      <c r="B325" t="s">
        <v>163</v>
      </c>
      <c r="C325" t="s">
        <v>29</v>
      </c>
      <c r="D325" t="s">
        <v>69</v>
      </c>
      <c r="E325" s="1">
        <v>46295</v>
      </c>
      <c r="F325">
        <v>540</v>
      </c>
      <c r="G325" t="s">
        <v>35</v>
      </c>
      <c r="H325">
        <v>180</v>
      </c>
      <c r="I325">
        <v>134</v>
      </c>
      <c r="J325">
        <v>1744786.04</v>
      </c>
      <c r="K325">
        <v>710540.26</v>
      </c>
      <c r="L325">
        <f t="shared" si="15"/>
        <v>1034245.78</v>
      </c>
      <c r="M325" t="str">
        <f t="shared" si="16"/>
        <v>2026-09</v>
      </c>
      <c r="N325">
        <f t="shared" si="17"/>
        <v>0.74444444444444446</v>
      </c>
    </row>
    <row r="326" spans="1:14">
      <c r="A326" t="s">
        <v>452</v>
      </c>
      <c r="B326" t="s">
        <v>48</v>
      </c>
      <c r="C326" t="s">
        <v>49</v>
      </c>
      <c r="D326" t="s">
        <v>40</v>
      </c>
      <c r="E326" s="1">
        <v>46249</v>
      </c>
      <c r="F326">
        <v>430</v>
      </c>
      <c r="G326" t="s">
        <v>31</v>
      </c>
      <c r="H326">
        <v>300</v>
      </c>
      <c r="I326">
        <v>98</v>
      </c>
      <c r="J326">
        <v>684673.75</v>
      </c>
      <c r="K326">
        <v>453426.55</v>
      </c>
      <c r="L326">
        <f t="shared" si="15"/>
        <v>231247.2</v>
      </c>
      <c r="M326" t="str">
        <f t="shared" si="16"/>
        <v>2026-08</v>
      </c>
      <c r="N326">
        <f t="shared" si="17"/>
        <v>0.32666666666666666</v>
      </c>
    </row>
    <row r="327" spans="1:14">
      <c r="A327" t="s">
        <v>453</v>
      </c>
      <c r="B327" t="s">
        <v>210</v>
      </c>
      <c r="C327" t="s">
        <v>55</v>
      </c>
      <c r="D327" t="s">
        <v>69</v>
      </c>
      <c r="E327" s="1">
        <v>46050</v>
      </c>
      <c r="F327">
        <v>178</v>
      </c>
      <c r="G327" t="s">
        <v>41</v>
      </c>
      <c r="H327">
        <v>250</v>
      </c>
      <c r="I327">
        <v>117</v>
      </c>
      <c r="J327">
        <v>842980.2</v>
      </c>
      <c r="K327">
        <v>327751.2</v>
      </c>
      <c r="L327">
        <f t="shared" si="15"/>
        <v>515228.99999999994</v>
      </c>
      <c r="M327" t="str">
        <f t="shared" si="16"/>
        <v>2026-01</v>
      </c>
      <c r="N327">
        <f t="shared" si="17"/>
        <v>0.46800000000000003</v>
      </c>
    </row>
    <row r="328" spans="1:14">
      <c r="A328" t="s">
        <v>454</v>
      </c>
      <c r="B328" t="s">
        <v>357</v>
      </c>
      <c r="C328" t="s">
        <v>55</v>
      </c>
      <c r="D328" t="s">
        <v>52</v>
      </c>
      <c r="E328" s="1">
        <v>46208</v>
      </c>
      <c r="F328">
        <v>311</v>
      </c>
      <c r="G328" t="s">
        <v>31</v>
      </c>
      <c r="H328">
        <v>180</v>
      </c>
      <c r="I328">
        <v>153</v>
      </c>
      <c r="J328">
        <v>1033967.64</v>
      </c>
      <c r="K328">
        <v>430443.6</v>
      </c>
      <c r="L328">
        <f t="shared" si="15"/>
        <v>603524.04</v>
      </c>
      <c r="M328" t="str">
        <f t="shared" si="16"/>
        <v>2026-07</v>
      </c>
      <c r="N328">
        <f t="shared" si="17"/>
        <v>0.85</v>
      </c>
    </row>
    <row r="329" spans="1:14">
      <c r="A329" t="s">
        <v>455</v>
      </c>
      <c r="B329" t="s">
        <v>182</v>
      </c>
      <c r="C329" t="s">
        <v>45</v>
      </c>
      <c r="D329" t="s">
        <v>34</v>
      </c>
      <c r="E329" s="1">
        <v>46159</v>
      </c>
      <c r="F329">
        <v>426</v>
      </c>
      <c r="G329" t="s">
        <v>35</v>
      </c>
      <c r="H329">
        <v>300</v>
      </c>
      <c r="I329">
        <v>125</v>
      </c>
      <c r="J329">
        <v>784424.99</v>
      </c>
      <c r="K329">
        <v>464813.02</v>
      </c>
      <c r="L329">
        <f t="shared" si="15"/>
        <v>319611.96999999997</v>
      </c>
      <c r="M329" t="str">
        <f t="shared" si="16"/>
        <v>2026-05</v>
      </c>
      <c r="N329">
        <f t="shared" si="17"/>
        <v>0.41666666666666669</v>
      </c>
    </row>
    <row r="330" spans="1:14">
      <c r="A330" t="s">
        <v>456</v>
      </c>
      <c r="B330" t="s">
        <v>48</v>
      </c>
      <c r="C330" t="s">
        <v>49</v>
      </c>
      <c r="D330" t="s">
        <v>40</v>
      </c>
      <c r="E330" s="1">
        <v>46032</v>
      </c>
      <c r="F330">
        <v>270</v>
      </c>
      <c r="G330" t="s">
        <v>31</v>
      </c>
      <c r="H330">
        <v>300</v>
      </c>
      <c r="I330">
        <v>54</v>
      </c>
      <c r="J330">
        <v>236388.41</v>
      </c>
      <c r="K330">
        <v>462949.72</v>
      </c>
      <c r="L330">
        <f t="shared" si="15"/>
        <v>-226561.30999999997</v>
      </c>
      <c r="M330" t="str">
        <f t="shared" si="16"/>
        <v>2026-01</v>
      </c>
      <c r="N330">
        <f t="shared" si="17"/>
        <v>0.18</v>
      </c>
    </row>
    <row r="331" spans="1:14">
      <c r="A331" t="s">
        <v>457</v>
      </c>
      <c r="B331" t="s">
        <v>157</v>
      </c>
      <c r="C331" t="s">
        <v>45</v>
      </c>
      <c r="D331" t="s">
        <v>52</v>
      </c>
      <c r="E331" s="1">
        <v>46162</v>
      </c>
      <c r="F331">
        <v>530</v>
      </c>
      <c r="G331" t="s">
        <v>35</v>
      </c>
      <c r="H331">
        <v>250</v>
      </c>
      <c r="I331">
        <v>225</v>
      </c>
      <c r="J331">
        <v>2540850.69</v>
      </c>
      <c r="K331">
        <v>490775.91</v>
      </c>
      <c r="L331">
        <f t="shared" si="15"/>
        <v>2050074.78</v>
      </c>
      <c r="M331" t="str">
        <f t="shared" si="16"/>
        <v>2026-05</v>
      </c>
      <c r="N331">
        <f t="shared" si="17"/>
        <v>0.9</v>
      </c>
    </row>
    <row r="332" spans="1:14">
      <c r="A332" t="s">
        <v>458</v>
      </c>
      <c r="B332" t="s">
        <v>198</v>
      </c>
      <c r="C332" t="s">
        <v>45</v>
      </c>
      <c r="D332" t="s">
        <v>40</v>
      </c>
      <c r="E332" s="1">
        <v>46236</v>
      </c>
      <c r="F332">
        <v>528</v>
      </c>
      <c r="G332" t="s">
        <v>46</v>
      </c>
      <c r="H332">
        <v>150</v>
      </c>
      <c r="I332">
        <v>146</v>
      </c>
      <c r="J332">
        <v>642850.03</v>
      </c>
      <c r="K332">
        <v>591123.81000000006</v>
      </c>
      <c r="L332">
        <f t="shared" si="15"/>
        <v>51726.219999999972</v>
      </c>
      <c r="M332" t="str">
        <f t="shared" si="16"/>
        <v>2026-08</v>
      </c>
      <c r="N332">
        <f t="shared" si="17"/>
        <v>0.97333333333333338</v>
      </c>
    </row>
    <row r="333" spans="1:14">
      <c r="A333" t="s">
        <v>459</v>
      </c>
      <c r="B333" t="s">
        <v>94</v>
      </c>
      <c r="C333" t="s">
        <v>34</v>
      </c>
      <c r="D333" t="s">
        <v>30</v>
      </c>
      <c r="E333" s="1">
        <v>46092</v>
      </c>
      <c r="F333">
        <v>171</v>
      </c>
      <c r="G333" t="s">
        <v>35</v>
      </c>
      <c r="H333">
        <v>250</v>
      </c>
      <c r="I333">
        <v>245</v>
      </c>
      <c r="J333">
        <v>2444366.29</v>
      </c>
      <c r="K333">
        <v>223170.63</v>
      </c>
      <c r="L333">
        <f t="shared" si="15"/>
        <v>2221195.66</v>
      </c>
      <c r="M333" t="str">
        <f t="shared" si="16"/>
        <v>2026-03</v>
      </c>
      <c r="N333">
        <f t="shared" si="17"/>
        <v>0.98</v>
      </c>
    </row>
    <row r="334" spans="1:14">
      <c r="A334" t="s">
        <v>460</v>
      </c>
      <c r="B334" t="s">
        <v>147</v>
      </c>
      <c r="C334" t="s">
        <v>29</v>
      </c>
      <c r="D334" t="s">
        <v>49</v>
      </c>
      <c r="E334" s="1">
        <v>46222</v>
      </c>
      <c r="F334">
        <v>562</v>
      </c>
      <c r="G334" t="s">
        <v>31</v>
      </c>
      <c r="H334">
        <v>150</v>
      </c>
      <c r="I334">
        <v>113</v>
      </c>
      <c r="J334">
        <v>480640.33</v>
      </c>
      <c r="K334">
        <v>582935.68999999994</v>
      </c>
      <c r="L334">
        <f t="shared" si="15"/>
        <v>-102295.35999999993</v>
      </c>
      <c r="M334" t="str">
        <f t="shared" si="16"/>
        <v>2026-07</v>
      </c>
      <c r="N334">
        <f t="shared" si="17"/>
        <v>0.7533333333333333</v>
      </c>
    </row>
    <row r="335" spans="1:14">
      <c r="A335" t="s">
        <v>461</v>
      </c>
      <c r="B335" t="s">
        <v>167</v>
      </c>
      <c r="C335" t="s">
        <v>30</v>
      </c>
      <c r="D335" t="s">
        <v>69</v>
      </c>
      <c r="E335" s="1">
        <v>46262</v>
      </c>
      <c r="F335">
        <v>573</v>
      </c>
      <c r="G335" t="s">
        <v>41</v>
      </c>
      <c r="H335">
        <v>300</v>
      </c>
      <c r="I335">
        <v>237</v>
      </c>
      <c r="J335">
        <v>2465588.81</v>
      </c>
      <c r="K335">
        <v>782836.1</v>
      </c>
      <c r="L335">
        <f t="shared" si="15"/>
        <v>1682752.71</v>
      </c>
      <c r="M335" t="str">
        <f t="shared" si="16"/>
        <v>2026-08</v>
      </c>
      <c r="N335">
        <f t="shared" si="17"/>
        <v>0.79</v>
      </c>
    </row>
    <row r="336" spans="1:14">
      <c r="A336" t="s">
        <v>462</v>
      </c>
      <c r="B336" t="s">
        <v>299</v>
      </c>
      <c r="C336" t="s">
        <v>34</v>
      </c>
      <c r="D336" t="s">
        <v>44</v>
      </c>
      <c r="E336" s="1">
        <v>46125</v>
      </c>
      <c r="F336">
        <v>554</v>
      </c>
      <c r="G336" t="s">
        <v>46</v>
      </c>
      <c r="H336">
        <v>250</v>
      </c>
      <c r="I336">
        <v>80</v>
      </c>
      <c r="J336">
        <v>290654.65000000002</v>
      </c>
      <c r="K336">
        <v>670361.97</v>
      </c>
      <c r="L336">
        <f t="shared" si="15"/>
        <v>-379707.31999999995</v>
      </c>
      <c r="M336" t="str">
        <f t="shared" si="16"/>
        <v>2026-04</v>
      </c>
      <c r="N336">
        <f t="shared" si="17"/>
        <v>0.32</v>
      </c>
    </row>
    <row r="337" spans="1:14">
      <c r="A337" t="s">
        <v>463</v>
      </c>
      <c r="B337" t="s">
        <v>186</v>
      </c>
      <c r="C337" t="s">
        <v>49</v>
      </c>
      <c r="D337" t="s">
        <v>30</v>
      </c>
      <c r="E337" s="1">
        <v>46204</v>
      </c>
      <c r="F337">
        <v>485</v>
      </c>
      <c r="G337" t="s">
        <v>41</v>
      </c>
      <c r="H337">
        <v>250</v>
      </c>
      <c r="I337">
        <v>71</v>
      </c>
      <c r="J337">
        <v>619702.54</v>
      </c>
      <c r="K337">
        <v>486603.09</v>
      </c>
      <c r="L337">
        <f t="shared" si="15"/>
        <v>133099.45000000001</v>
      </c>
      <c r="M337" t="str">
        <f t="shared" si="16"/>
        <v>2026-07</v>
      </c>
      <c r="N337">
        <f t="shared" si="17"/>
        <v>0.28399999999999997</v>
      </c>
    </row>
    <row r="338" spans="1:14">
      <c r="A338" t="s">
        <v>464</v>
      </c>
      <c r="B338" t="s">
        <v>220</v>
      </c>
      <c r="C338" t="s">
        <v>34</v>
      </c>
      <c r="D338" t="s">
        <v>49</v>
      </c>
      <c r="E338" s="1">
        <v>46100</v>
      </c>
      <c r="F338">
        <v>488</v>
      </c>
      <c r="G338" t="s">
        <v>46</v>
      </c>
      <c r="H338">
        <v>250</v>
      </c>
      <c r="I338">
        <v>159</v>
      </c>
      <c r="J338">
        <v>825538.91</v>
      </c>
      <c r="K338">
        <v>416686.97</v>
      </c>
      <c r="L338">
        <f t="shared" si="15"/>
        <v>408851.94000000006</v>
      </c>
      <c r="M338" t="str">
        <f t="shared" si="16"/>
        <v>2026-03</v>
      </c>
      <c r="N338">
        <f t="shared" si="17"/>
        <v>0.63600000000000001</v>
      </c>
    </row>
    <row r="339" spans="1:14">
      <c r="A339" t="s">
        <v>465</v>
      </c>
      <c r="B339" t="s">
        <v>153</v>
      </c>
      <c r="C339" t="s">
        <v>69</v>
      </c>
      <c r="D339" t="s">
        <v>40</v>
      </c>
      <c r="E339" s="1">
        <v>46080</v>
      </c>
      <c r="F339">
        <v>466</v>
      </c>
      <c r="G339" t="s">
        <v>41</v>
      </c>
      <c r="H339">
        <v>180</v>
      </c>
      <c r="I339">
        <v>75</v>
      </c>
      <c r="J339">
        <v>1068398.05</v>
      </c>
      <c r="K339">
        <v>424709.86</v>
      </c>
      <c r="L339">
        <f t="shared" si="15"/>
        <v>643688.19000000006</v>
      </c>
      <c r="M339" t="str">
        <f t="shared" si="16"/>
        <v>2026-02</v>
      </c>
      <c r="N339">
        <f t="shared" si="17"/>
        <v>0.41666666666666669</v>
      </c>
    </row>
    <row r="340" spans="1:14">
      <c r="A340" t="s">
        <v>466</v>
      </c>
      <c r="B340" t="s">
        <v>175</v>
      </c>
      <c r="C340" t="s">
        <v>40</v>
      </c>
      <c r="D340" t="s">
        <v>29</v>
      </c>
      <c r="E340" s="1">
        <v>46035</v>
      </c>
      <c r="F340">
        <v>443</v>
      </c>
      <c r="G340" t="s">
        <v>35</v>
      </c>
      <c r="H340">
        <v>250</v>
      </c>
      <c r="I340">
        <v>192</v>
      </c>
      <c r="J340">
        <v>1987881.61</v>
      </c>
      <c r="K340">
        <v>637523.31999999995</v>
      </c>
      <c r="L340">
        <f t="shared" si="15"/>
        <v>1350358.29</v>
      </c>
      <c r="M340" t="str">
        <f t="shared" si="16"/>
        <v>2026-01</v>
      </c>
      <c r="N340">
        <f t="shared" si="17"/>
        <v>0.76800000000000002</v>
      </c>
    </row>
    <row r="341" spans="1:14">
      <c r="A341" t="s">
        <v>467</v>
      </c>
      <c r="B341" t="s">
        <v>202</v>
      </c>
      <c r="C341" t="s">
        <v>29</v>
      </c>
      <c r="D341" t="s">
        <v>55</v>
      </c>
      <c r="E341" s="1">
        <v>46066</v>
      </c>
      <c r="F341">
        <v>376</v>
      </c>
      <c r="G341" t="s">
        <v>41</v>
      </c>
      <c r="H341">
        <v>150</v>
      </c>
      <c r="I341">
        <v>120</v>
      </c>
      <c r="J341">
        <v>727684.38</v>
      </c>
      <c r="K341">
        <v>290866.12</v>
      </c>
      <c r="L341">
        <f t="shared" si="15"/>
        <v>436818.26</v>
      </c>
      <c r="M341" t="str">
        <f t="shared" si="16"/>
        <v>2026-02</v>
      </c>
      <c r="N341">
        <f t="shared" si="17"/>
        <v>0.8</v>
      </c>
    </row>
    <row r="342" spans="1:14">
      <c r="A342" t="s">
        <v>468</v>
      </c>
      <c r="B342" t="s">
        <v>71</v>
      </c>
      <c r="C342" t="s">
        <v>44</v>
      </c>
      <c r="D342" t="s">
        <v>40</v>
      </c>
      <c r="E342" s="1">
        <v>46242</v>
      </c>
      <c r="F342">
        <v>249</v>
      </c>
      <c r="G342" t="s">
        <v>35</v>
      </c>
      <c r="H342">
        <v>150</v>
      </c>
      <c r="I342">
        <v>139</v>
      </c>
      <c r="J342">
        <v>697563.7</v>
      </c>
      <c r="K342">
        <v>352767.26</v>
      </c>
      <c r="L342">
        <f t="shared" si="15"/>
        <v>344796.43999999994</v>
      </c>
      <c r="M342" t="str">
        <f t="shared" si="16"/>
        <v>2026-08</v>
      </c>
      <c r="N342">
        <f t="shared" si="17"/>
        <v>0.92666666666666664</v>
      </c>
    </row>
    <row r="343" spans="1:14">
      <c r="A343" t="s">
        <v>469</v>
      </c>
      <c r="B343" t="s">
        <v>186</v>
      </c>
      <c r="C343" t="s">
        <v>49</v>
      </c>
      <c r="D343" t="s">
        <v>30</v>
      </c>
      <c r="E343" s="1">
        <v>46286</v>
      </c>
      <c r="F343">
        <v>563</v>
      </c>
      <c r="G343" t="s">
        <v>35</v>
      </c>
      <c r="H343">
        <v>250</v>
      </c>
      <c r="I343">
        <v>152</v>
      </c>
      <c r="J343">
        <v>1614995.79</v>
      </c>
      <c r="K343">
        <v>654712.31999999995</v>
      </c>
      <c r="L343">
        <f t="shared" si="15"/>
        <v>960283.47000000009</v>
      </c>
      <c r="M343" t="str">
        <f t="shared" si="16"/>
        <v>2026-09</v>
      </c>
      <c r="N343">
        <f t="shared" si="17"/>
        <v>0.60799999999999998</v>
      </c>
    </row>
    <row r="344" spans="1:14">
      <c r="A344" t="s">
        <v>470</v>
      </c>
      <c r="B344" t="s">
        <v>66</v>
      </c>
      <c r="C344" t="s">
        <v>49</v>
      </c>
      <c r="D344" t="s">
        <v>45</v>
      </c>
      <c r="E344" s="1">
        <v>46120</v>
      </c>
      <c r="F344">
        <v>230</v>
      </c>
      <c r="G344" t="s">
        <v>46</v>
      </c>
      <c r="H344">
        <v>150</v>
      </c>
      <c r="I344">
        <v>72</v>
      </c>
      <c r="J344">
        <v>935651.27</v>
      </c>
      <c r="K344">
        <v>276987.74</v>
      </c>
      <c r="L344">
        <f t="shared" si="15"/>
        <v>658663.53</v>
      </c>
      <c r="M344" t="str">
        <f t="shared" si="16"/>
        <v>2026-04</v>
      </c>
      <c r="N344">
        <f t="shared" si="17"/>
        <v>0.48</v>
      </c>
    </row>
    <row r="345" spans="1:14">
      <c r="A345" t="s">
        <v>471</v>
      </c>
      <c r="B345" t="s">
        <v>370</v>
      </c>
      <c r="C345" t="s">
        <v>44</v>
      </c>
      <c r="D345" t="s">
        <v>29</v>
      </c>
      <c r="E345" s="1">
        <v>46118</v>
      </c>
      <c r="F345">
        <v>516</v>
      </c>
      <c r="G345" t="s">
        <v>41</v>
      </c>
      <c r="H345">
        <v>180</v>
      </c>
      <c r="I345">
        <v>55</v>
      </c>
      <c r="J345">
        <v>379639.39</v>
      </c>
      <c r="K345">
        <v>362184.11</v>
      </c>
      <c r="L345">
        <f t="shared" si="15"/>
        <v>17455.280000000028</v>
      </c>
      <c r="M345" t="str">
        <f t="shared" si="16"/>
        <v>2026-04</v>
      </c>
      <c r="N345">
        <f t="shared" si="17"/>
        <v>0.30555555555555558</v>
      </c>
    </row>
    <row r="346" spans="1:14">
      <c r="A346" t="s">
        <v>472</v>
      </c>
      <c r="B346" t="s">
        <v>109</v>
      </c>
      <c r="C346" t="s">
        <v>30</v>
      </c>
      <c r="D346" t="s">
        <v>52</v>
      </c>
      <c r="E346" s="1">
        <v>46236</v>
      </c>
      <c r="F346">
        <v>563</v>
      </c>
      <c r="G346" t="s">
        <v>46</v>
      </c>
      <c r="H346">
        <v>250</v>
      </c>
      <c r="I346">
        <v>71</v>
      </c>
      <c r="J346">
        <v>325808.73</v>
      </c>
      <c r="K346">
        <v>557145.61</v>
      </c>
      <c r="L346">
        <f t="shared" si="15"/>
        <v>-231336.88</v>
      </c>
      <c r="M346" t="str">
        <f t="shared" si="16"/>
        <v>2026-08</v>
      </c>
      <c r="N346">
        <f t="shared" si="17"/>
        <v>0.28399999999999997</v>
      </c>
    </row>
    <row r="347" spans="1:14">
      <c r="A347" t="s">
        <v>473</v>
      </c>
      <c r="B347" t="s">
        <v>282</v>
      </c>
      <c r="C347" t="s">
        <v>52</v>
      </c>
      <c r="D347" t="s">
        <v>29</v>
      </c>
      <c r="E347" s="1">
        <v>46255</v>
      </c>
      <c r="F347">
        <v>142</v>
      </c>
      <c r="G347" t="s">
        <v>41</v>
      </c>
      <c r="H347">
        <v>250</v>
      </c>
      <c r="I347">
        <v>118</v>
      </c>
      <c r="J347">
        <v>789018.45</v>
      </c>
      <c r="K347">
        <v>250317.98</v>
      </c>
      <c r="L347">
        <f t="shared" si="15"/>
        <v>538700.47</v>
      </c>
      <c r="M347" t="str">
        <f t="shared" si="16"/>
        <v>2026-08</v>
      </c>
      <c r="N347">
        <f t="shared" si="17"/>
        <v>0.47199999999999998</v>
      </c>
    </row>
    <row r="348" spans="1:14">
      <c r="A348" t="s">
        <v>474</v>
      </c>
      <c r="B348" t="s">
        <v>104</v>
      </c>
      <c r="C348" t="s">
        <v>34</v>
      </c>
      <c r="D348" t="s">
        <v>52</v>
      </c>
      <c r="E348" s="1">
        <v>46116</v>
      </c>
      <c r="F348">
        <v>434</v>
      </c>
      <c r="G348" t="s">
        <v>31</v>
      </c>
      <c r="H348">
        <v>150</v>
      </c>
      <c r="I348">
        <v>74</v>
      </c>
      <c r="J348">
        <v>809606.19</v>
      </c>
      <c r="K348">
        <v>475024.14</v>
      </c>
      <c r="L348">
        <f t="shared" si="15"/>
        <v>334582.04999999993</v>
      </c>
      <c r="M348" t="str">
        <f t="shared" si="16"/>
        <v>2026-04</v>
      </c>
      <c r="N348">
        <f t="shared" si="17"/>
        <v>0.49333333333333335</v>
      </c>
    </row>
    <row r="349" spans="1:14">
      <c r="A349" t="s">
        <v>475</v>
      </c>
      <c r="B349" t="s">
        <v>66</v>
      </c>
      <c r="C349" t="s">
        <v>49</v>
      </c>
      <c r="D349" t="s">
        <v>45</v>
      </c>
      <c r="E349" s="1">
        <v>46231</v>
      </c>
      <c r="F349">
        <v>507</v>
      </c>
      <c r="G349" t="s">
        <v>46</v>
      </c>
      <c r="H349">
        <v>300</v>
      </c>
      <c r="I349">
        <v>51</v>
      </c>
      <c r="J349">
        <v>719995.84</v>
      </c>
      <c r="K349">
        <v>552425.76</v>
      </c>
      <c r="L349">
        <f t="shared" si="15"/>
        <v>167570.07999999996</v>
      </c>
      <c r="M349" t="str">
        <f t="shared" si="16"/>
        <v>2026-07</v>
      </c>
      <c r="N349">
        <f t="shared" si="17"/>
        <v>0.17</v>
      </c>
    </row>
    <row r="350" spans="1:14">
      <c r="A350" t="s">
        <v>476</v>
      </c>
      <c r="B350" t="s">
        <v>147</v>
      </c>
      <c r="C350" t="s">
        <v>29</v>
      </c>
      <c r="D350" t="s">
        <v>49</v>
      </c>
      <c r="E350" s="1">
        <v>46284</v>
      </c>
      <c r="F350">
        <v>423</v>
      </c>
      <c r="G350" t="s">
        <v>31</v>
      </c>
      <c r="H350">
        <v>250</v>
      </c>
      <c r="I350">
        <v>97</v>
      </c>
      <c r="J350">
        <v>1103141.78</v>
      </c>
      <c r="K350">
        <v>444313.79</v>
      </c>
      <c r="L350">
        <f t="shared" si="15"/>
        <v>658827.99</v>
      </c>
      <c r="M350" t="str">
        <f t="shared" si="16"/>
        <v>2026-09</v>
      </c>
      <c r="N350">
        <f t="shared" si="17"/>
        <v>0.38800000000000001</v>
      </c>
    </row>
    <row r="351" spans="1:14">
      <c r="A351" t="s">
        <v>477</v>
      </c>
      <c r="B351" t="s">
        <v>478</v>
      </c>
      <c r="C351" t="s">
        <v>40</v>
      </c>
      <c r="D351" t="s">
        <v>44</v>
      </c>
      <c r="E351" s="1">
        <v>46094</v>
      </c>
      <c r="F351">
        <v>322</v>
      </c>
      <c r="G351" t="s">
        <v>31</v>
      </c>
      <c r="H351">
        <v>250</v>
      </c>
      <c r="I351">
        <v>168</v>
      </c>
      <c r="J351">
        <v>1612535.02</v>
      </c>
      <c r="K351">
        <v>297399.18</v>
      </c>
      <c r="L351">
        <f t="shared" si="15"/>
        <v>1315135.8400000001</v>
      </c>
      <c r="M351" t="str">
        <f t="shared" si="16"/>
        <v>2026-03</v>
      </c>
      <c r="N351">
        <f t="shared" si="17"/>
        <v>0.67200000000000004</v>
      </c>
    </row>
    <row r="352" spans="1:14">
      <c r="A352" t="s">
        <v>479</v>
      </c>
      <c r="B352" t="s">
        <v>165</v>
      </c>
      <c r="C352" t="s">
        <v>34</v>
      </c>
      <c r="D352" t="s">
        <v>29</v>
      </c>
      <c r="E352" s="1">
        <v>46197</v>
      </c>
      <c r="F352">
        <v>135</v>
      </c>
      <c r="G352" t="s">
        <v>41</v>
      </c>
      <c r="H352">
        <v>180</v>
      </c>
      <c r="I352">
        <v>63</v>
      </c>
      <c r="J352">
        <v>757866.06</v>
      </c>
      <c r="K352">
        <v>162347.26999999999</v>
      </c>
      <c r="L352">
        <f t="shared" si="15"/>
        <v>595518.79</v>
      </c>
      <c r="M352" t="str">
        <f t="shared" si="16"/>
        <v>2026-06</v>
      </c>
      <c r="N352">
        <f t="shared" si="17"/>
        <v>0.35</v>
      </c>
    </row>
    <row r="353" spans="1:14">
      <c r="A353" t="s">
        <v>480</v>
      </c>
      <c r="B353" t="s">
        <v>96</v>
      </c>
      <c r="C353" t="s">
        <v>69</v>
      </c>
      <c r="D353" t="s">
        <v>30</v>
      </c>
      <c r="E353" s="1">
        <v>46043</v>
      </c>
      <c r="F353">
        <v>123</v>
      </c>
      <c r="G353" t="s">
        <v>41</v>
      </c>
      <c r="H353">
        <v>250</v>
      </c>
      <c r="I353">
        <v>104</v>
      </c>
      <c r="J353">
        <v>504067.08</v>
      </c>
      <c r="K353">
        <v>199350.38</v>
      </c>
      <c r="L353">
        <f t="shared" si="15"/>
        <v>304716.7</v>
      </c>
      <c r="M353" t="str">
        <f t="shared" si="16"/>
        <v>2026-01</v>
      </c>
      <c r="N353">
        <f t="shared" si="17"/>
        <v>0.41599999999999998</v>
      </c>
    </row>
    <row r="354" spans="1:14">
      <c r="A354" t="s">
        <v>481</v>
      </c>
      <c r="B354" t="s">
        <v>299</v>
      </c>
      <c r="C354" t="s">
        <v>34</v>
      </c>
      <c r="D354" t="s">
        <v>44</v>
      </c>
      <c r="E354" s="1">
        <v>46297</v>
      </c>
      <c r="F354">
        <v>530</v>
      </c>
      <c r="G354" t="s">
        <v>46</v>
      </c>
      <c r="H354">
        <v>150</v>
      </c>
      <c r="I354">
        <v>92</v>
      </c>
      <c r="J354">
        <v>984220.95</v>
      </c>
      <c r="K354">
        <v>436396.24</v>
      </c>
      <c r="L354">
        <f t="shared" si="15"/>
        <v>547824.71</v>
      </c>
      <c r="M354" t="str">
        <f t="shared" si="16"/>
        <v>2026-10</v>
      </c>
      <c r="N354">
        <f t="shared" si="17"/>
        <v>0.61333333333333329</v>
      </c>
    </row>
    <row r="355" spans="1:14">
      <c r="A355" t="s">
        <v>482</v>
      </c>
      <c r="B355" t="s">
        <v>342</v>
      </c>
      <c r="C355" t="s">
        <v>30</v>
      </c>
      <c r="D355" t="s">
        <v>55</v>
      </c>
      <c r="E355" s="1">
        <v>46060</v>
      </c>
      <c r="F355">
        <v>175</v>
      </c>
      <c r="G355" t="s">
        <v>31</v>
      </c>
      <c r="H355">
        <v>250</v>
      </c>
      <c r="I355">
        <v>234</v>
      </c>
      <c r="J355">
        <v>1098230.1200000001</v>
      </c>
      <c r="K355">
        <v>279333.81</v>
      </c>
      <c r="L355">
        <f t="shared" si="15"/>
        <v>818896.31</v>
      </c>
      <c r="M355" t="str">
        <f t="shared" si="16"/>
        <v>2026-02</v>
      </c>
      <c r="N355">
        <f t="shared" si="17"/>
        <v>0.93600000000000005</v>
      </c>
    </row>
    <row r="356" spans="1:14">
      <c r="A356" t="s">
        <v>483</v>
      </c>
      <c r="B356" t="s">
        <v>198</v>
      </c>
      <c r="C356" t="s">
        <v>45</v>
      </c>
      <c r="D356" t="s">
        <v>40</v>
      </c>
      <c r="E356" s="1">
        <v>46322</v>
      </c>
      <c r="F356">
        <v>194</v>
      </c>
      <c r="G356" t="s">
        <v>35</v>
      </c>
      <c r="H356">
        <v>250</v>
      </c>
      <c r="I356">
        <v>208</v>
      </c>
      <c r="J356">
        <v>2269919.71</v>
      </c>
      <c r="K356">
        <v>300466.2</v>
      </c>
      <c r="L356">
        <f t="shared" si="15"/>
        <v>1969453.51</v>
      </c>
      <c r="M356" t="str">
        <f t="shared" si="16"/>
        <v>2026-10</v>
      </c>
      <c r="N356">
        <f t="shared" si="17"/>
        <v>0.83199999999999996</v>
      </c>
    </row>
    <row r="357" spans="1:14">
      <c r="A357" t="s">
        <v>484</v>
      </c>
      <c r="B357" t="s">
        <v>190</v>
      </c>
      <c r="C357" t="s">
        <v>44</v>
      </c>
      <c r="D357" t="s">
        <v>52</v>
      </c>
      <c r="E357" s="1">
        <v>46295</v>
      </c>
      <c r="F357">
        <v>203</v>
      </c>
      <c r="G357" t="s">
        <v>35</v>
      </c>
      <c r="H357">
        <v>180</v>
      </c>
      <c r="I357">
        <v>156</v>
      </c>
      <c r="J357">
        <v>990172.08</v>
      </c>
      <c r="K357">
        <v>209855.69</v>
      </c>
      <c r="L357">
        <f t="shared" si="15"/>
        <v>780316.3899999999</v>
      </c>
      <c r="M357" t="str">
        <f t="shared" si="16"/>
        <v>2026-09</v>
      </c>
      <c r="N357">
        <f t="shared" si="17"/>
        <v>0.8666666666666667</v>
      </c>
    </row>
    <row r="358" spans="1:14">
      <c r="A358" t="s">
        <v>485</v>
      </c>
      <c r="B358" t="s">
        <v>246</v>
      </c>
      <c r="C358" t="s">
        <v>52</v>
      </c>
      <c r="D358" t="s">
        <v>69</v>
      </c>
      <c r="E358" s="1">
        <v>46069</v>
      </c>
      <c r="F358">
        <v>240</v>
      </c>
      <c r="G358" t="s">
        <v>46</v>
      </c>
      <c r="H358">
        <v>250</v>
      </c>
      <c r="I358">
        <v>179</v>
      </c>
      <c r="J358">
        <v>1831105.2</v>
      </c>
      <c r="K358">
        <v>330955.28000000003</v>
      </c>
      <c r="L358">
        <f t="shared" si="15"/>
        <v>1500149.92</v>
      </c>
      <c r="M358" t="str">
        <f t="shared" si="16"/>
        <v>2026-02</v>
      </c>
      <c r="N358">
        <f t="shared" si="17"/>
        <v>0.71599999999999997</v>
      </c>
    </row>
    <row r="359" spans="1:14">
      <c r="A359" t="s">
        <v>486</v>
      </c>
      <c r="B359" t="s">
        <v>370</v>
      </c>
      <c r="C359" t="s">
        <v>44</v>
      </c>
      <c r="D359" t="s">
        <v>29</v>
      </c>
      <c r="E359" s="1">
        <v>46305</v>
      </c>
      <c r="F359">
        <v>241</v>
      </c>
      <c r="G359" t="s">
        <v>46</v>
      </c>
      <c r="H359">
        <v>150</v>
      </c>
      <c r="I359">
        <v>65</v>
      </c>
      <c r="J359">
        <v>199215.84</v>
      </c>
      <c r="K359">
        <v>195727.12</v>
      </c>
      <c r="L359">
        <f t="shared" si="15"/>
        <v>3488.7200000000012</v>
      </c>
      <c r="M359" t="str">
        <f t="shared" si="16"/>
        <v>2026-10</v>
      </c>
      <c r="N359">
        <f t="shared" si="17"/>
        <v>0.43333333333333335</v>
      </c>
    </row>
    <row r="360" spans="1:14">
      <c r="A360" t="s">
        <v>487</v>
      </c>
      <c r="B360" t="s">
        <v>182</v>
      </c>
      <c r="C360" t="s">
        <v>45</v>
      </c>
      <c r="D360" t="s">
        <v>34</v>
      </c>
      <c r="E360" s="1">
        <v>46247</v>
      </c>
      <c r="F360">
        <v>420</v>
      </c>
      <c r="G360" t="s">
        <v>46</v>
      </c>
      <c r="H360">
        <v>180</v>
      </c>
      <c r="I360">
        <v>96</v>
      </c>
      <c r="J360">
        <v>357054.68</v>
      </c>
      <c r="K360">
        <v>338506.28</v>
      </c>
      <c r="L360">
        <f t="shared" si="15"/>
        <v>18548.399999999965</v>
      </c>
      <c r="M360" t="str">
        <f t="shared" si="16"/>
        <v>2026-08</v>
      </c>
      <c r="N360">
        <f t="shared" si="17"/>
        <v>0.53333333333333333</v>
      </c>
    </row>
    <row r="361" spans="1:14">
      <c r="A361" t="s">
        <v>488</v>
      </c>
      <c r="B361" t="s">
        <v>127</v>
      </c>
      <c r="C361" t="s">
        <v>40</v>
      </c>
      <c r="D361" t="s">
        <v>55</v>
      </c>
      <c r="E361" s="1">
        <v>46111</v>
      </c>
      <c r="F361">
        <v>381</v>
      </c>
      <c r="G361" t="s">
        <v>35</v>
      </c>
      <c r="H361">
        <v>300</v>
      </c>
      <c r="I361">
        <v>122</v>
      </c>
      <c r="J361">
        <v>1047253.27</v>
      </c>
      <c r="K361">
        <v>344149.1</v>
      </c>
      <c r="L361">
        <f t="shared" si="15"/>
        <v>703104.17</v>
      </c>
      <c r="M361" t="str">
        <f t="shared" si="16"/>
        <v>2026-03</v>
      </c>
      <c r="N361">
        <f t="shared" si="17"/>
        <v>0.40666666666666668</v>
      </c>
    </row>
    <row r="362" spans="1:14">
      <c r="A362" t="s">
        <v>489</v>
      </c>
      <c r="B362" t="s">
        <v>54</v>
      </c>
      <c r="C362" t="s">
        <v>52</v>
      </c>
      <c r="D362" t="s">
        <v>55</v>
      </c>
      <c r="E362" s="1">
        <v>46186</v>
      </c>
      <c r="F362">
        <v>467</v>
      </c>
      <c r="G362" t="s">
        <v>46</v>
      </c>
      <c r="H362">
        <v>250</v>
      </c>
      <c r="I362">
        <v>179</v>
      </c>
      <c r="J362">
        <v>1962894.97</v>
      </c>
      <c r="K362">
        <v>674057.46</v>
      </c>
      <c r="L362">
        <f t="shared" si="15"/>
        <v>1288837.51</v>
      </c>
      <c r="M362" t="str">
        <f t="shared" si="16"/>
        <v>2026-06</v>
      </c>
      <c r="N362">
        <f t="shared" si="17"/>
        <v>0.71599999999999997</v>
      </c>
    </row>
    <row r="363" spans="1:14">
      <c r="A363" t="s">
        <v>490</v>
      </c>
      <c r="B363" t="s">
        <v>299</v>
      </c>
      <c r="C363" t="s">
        <v>34</v>
      </c>
      <c r="D363" t="s">
        <v>44</v>
      </c>
      <c r="E363" s="1">
        <v>46168</v>
      </c>
      <c r="F363">
        <v>187</v>
      </c>
      <c r="G363" t="s">
        <v>46</v>
      </c>
      <c r="H363">
        <v>300</v>
      </c>
      <c r="I363">
        <v>199</v>
      </c>
      <c r="J363">
        <v>939156.12</v>
      </c>
      <c r="K363">
        <v>337056.7</v>
      </c>
      <c r="L363">
        <f t="shared" si="15"/>
        <v>602099.41999999993</v>
      </c>
      <c r="M363" t="str">
        <f t="shared" si="16"/>
        <v>2026-05</v>
      </c>
      <c r="N363">
        <f t="shared" si="17"/>
        <v>0.66333333333333333</v>
      </c>
    </row>
    <row r="364" spans="1:14">
      <c r="A364" t="s">
        <v>491</v>
      </c>
      <c r="B364" t="s">
        <v>94</v>
      </c>
      <c r="C364" t="s">
        <v>34</v>
      </c>
      <c r="D364" t="s">
        <v>30</v>
      </c>
      <c r="E364" s="1">
        <v>46186</v>
      </c>
      <c r="F364">
        <v>207</v>
      </c>
      <c r="G364" t="s">
        <v>46</v>
      </c>
      <c r="H364">
        <v>180</v>
      </c>
      <c r="I364">
        <v>158</v>
      </c>
      <c r="J364">
        <v>989625.84</v>
      </c>
      <c r="K364">
        <v>225072.46</v>
      </c>
      <c r="L364">
        <f t="shared" si="15"/>
        <v>764553.38</v>
      </c>
      <c r="M364" t="str">
        <f t="shared" si="16"/>
        <v>2026-06</v>
      </c>
      <c r="N364">
        <f t="shared" si="17"/>
        <v>0.87777777777777777</v>
      </c>
    </row>
    <row r="365" spans="1:14">
      <c r="A365" t="s">
        <v>492</v>
      </c>
      <c r="B365" t="s">
        <v>107</v>
      </c>
      <c r="C365" t="s">
        <v>30</v>
      </c>
      <c r="D365" t="s">
        <v>45</v>
      </c>
      <c r="E365" s="1">
        <v>46109</v>
      </c>
      <c r="F365">
        <v>201</v>
      </c>
      <c r="G365" t="s">
        <v>41</v>
      </c>
      <c r="H365">
        <v>250</v>
      </c>
      <c r="I365">
        <v>95</v>
      </c>
      <c r="J365">
        <v>438416.94</v>
      </c>
      <c r="K365">
        <v>238784.74</v>
      </c>
      <c r="L365">
        <f t="shared" si="15"/>
        <v>199632.2</v>
      </c>
      <c r="M365" t="str">
        <f t="shared" si="16"/>
        <v>2026-03</v>
      </c>
      <c r="N365">
        <f t="shared" si="17"/>
        <v>0.38</v>
      </c>
    </row>
    <row r="366" spans="1:14">
      <c r="A366" t="s">
        <v>493</v>
      </c>
      <c r="B366" t="s">
        <v>118</v>
      </c>
      <c r="C366" t="s">
        <v>40</v>
      </c>
      <c r="D366" t="s">
        <v>69</v>
      </c>
      <c r="E366" s="1">
        <v>46126</v>
      </c>
      <c r="F366">
        <v>265</v>
      </c>
      <c r="G366" t="s">
        <v>31</v>
      </c>
      <c r="H366">
        <v>250</v>
      </c>
      <c r="I366">
        <v>146</v>
      </c>
      <c r="J366">
        <v>461886.81</v>
      </c>
      <c r="K366">
        <v>317365.78000000003</v>
      </c>
      <c r="L366">
        <f t="shared" si="15"/>
        <v>144521.02999999997</v>
      </c>
      <c r="M366" t="str">
        <f t="shared" si="16"/>
        <v>2026-04</v>
      </c>
      <c r="N366">
        <f t="shared" si="17"/>
        <v>0.58399999999999996</v>
      </c>
    </row>
    <row r="367" spans="1:14">
      <c r="A367" t="s">
        <v>494</v>
      </c>
      <c r="B367" t="s">
        <v>116</v>
      </c>
      <c r="C367" t="s">
        <v>30</v>
      </c>
      <c r="D367" t="s">
        <v>44</v>
      </c>
      <c r="E367" s="1">
        <v>46223</v>
      </c>
      <c r="F367">
        <v>385</v>
      </c>
      <c r="G367" t="s">
        <v>31</v>
      </c>
      <c r="H367">
        <v>150</v>
      </c>
      <c r="I367">
        <v>144</v>
      </c>
      <c r="J367">
        <v>1088603.8500000001</v>
      </c>
      <c r="K367">
        <v>431122.96</v>
      </c>
      <c r="L367">
        <f t="shared" si="15"/>
        <v>657480.89000000013</v>
      </c>
      <c r="M367" t="str">
        <f t="shared" si="16"/>
        <v>2026-07</v>
      </c>
      <c r="N367">
        <f t="shared" si="17"/>
        <v>0.96</v>
      </c>
    </row>
    <row r="368" spans="1:14">
      <c r="A368" t="s">
        <v>495</v>
      </c>
      <c r="B368" t="s">
        <v>167</v>
      </c>
      <c r="C368" t="s">
        <v>30</v>
      </c>
      <c r="D368" t="s">
        <v>69</v>
      </c>
      <c r="E368" s="1">
        <v>46076</v>
      </c>
      <c r="F368">
        <v>403</v>
      </c>
      <c r="G368" t="s">
        <v>31</v>
      </c>
      <c r="H368">
        <v>150</v>
      </c>
      <c r="I368">
        <v>103</v>
      </c>
      <c r="J368">
        <v>1388792.5</v>
      </c>
      <c r="K368">
        <v>557349.99</v>
      </c>
      <c r="L368">
        <f t="shared" si="15"/>
        <v>831442.51</v>
      </c>
      <c r="M368" t="str">
        <f t="shared" si="16"/>
        <v>2026-02</v>
      </c>
      <c r="N368">
        <f t="shared" si="17"/>
        <v>0.68666666666666665</v>
      </c>
    </row>
    <row r="369" spans="1:14">
      <c r="A369" t="s">
        <v>496</v>
      </c>
      <c r="B369" t="s">
        <v>364</v>
      </c>
      <c r="C369" t="s">
        <v>69</v>
      </c>
      <c r="D369" t="s">
        <v>49</v>
      </c>
      <c r="E369" s="1">
        <v>46030</v>
      </c>
      <c r="F369">
        <v>88</v>
      </c>
      <c r="G369" t="s">
        <v>35</v>
      </c>
      <c r="H369">
        <v>250</v>
      </c>
      <c r="I369">
        <v>210</v>
      </c>
      <c r="J369">
        <v>2223638.5699999998</v>
      </c>
      <c r="K369">
        <v>176904.87</v>
      </c>
      <c r="L369">
        <f t="shared" si="15"/>
        <v>2046733.6999999997</v>
      </c>
      <c r="M369" t="str">
        <f t="shared" si="16"/>
        <v>2026-01</v>
      </c>
      <c r="N369">
        <f t="shared" si="17"/>
        <v>0.84</v>
      </c>
    </row>
    <row r="370" spans="1:14">
      <c r="A370" t="s">
        <v>497</v>
      </c>
      <c r="B370" t="s">
        <v>414</v>
      </c>
      <c r="C370" t="s">
        <v>40</v>
      </c>
      <c r="D370" t="s">
        <v>52</v>
      </c>
      <c r="E370" s="1">
        <v>46195</v>
      </c>
      <c r="F370">
        <v>230</v>
      </c>
      <c r="G370" t="s">
        <v>41</v>
      </c>
      <c r="H370">
        <v>150</v>
      </c>
      <c r="I370">
        <v>109</v>
      </c>
      <c r="J370">
        <v>1330888.47</v>
      </c>
      <c r="K370">
        <v>239512.3</v>
      </c>
      <c r="L370">
        <f t="shared" si="15"/>
        <v>1091376.17</v>
      </c>
      <c r="M370" t="str">
        <f t="shared" si="16"/>
        <v>2026-06</v>
      </c>
      <c r="N370">
        <f t="shared" si="17"/>
        <v>0.72666666666666668</v>
      </c>
    </row>
    <row r="371" spans="1:14">
      <c r="A371" t="s">
        <v>498</v>
      </c>
      <c r="B371" t="s">
        <v>370</v>
      </c>
      <c r="C371" t="s">
        <v>44</v>
      </c>
      <c r="D371" t="s">
        <v>29</v>
      </c>
      <c r="E371" s="1">
        <v>46321</v>
      </c>
      <c r="F371">
        <v>136</v>
      </c>
      <c r="G371" t="s">
        <v>35</v>
      </c>
      <c r="H371">
        <v>150</v>
      </c>
      <c r="I371">
        <v>69</v>
      </c>
      <c r="J371">
        <v>746773.92</v>
      </c>
      <c r="K371">
        <v>222246.12</v>
      </c>
      <c r="L371">
        <f t="shared" si="15"/>
        <v>524527.80000000005</v>
      </c>
      <c r="M371" t="str">
        <f t="shared" si="16"/>
        <v>2026-10</v>
      </c>
      <c r="N371">
        <f t="shared" si="17"/>
        <v>0.46</v>
      </c>
    </row>
    <row r="372" spans="1:14">
      <c r="A372" t="s">
        <v>499</v>
      </c>
      <c r="B372" t="s">
        <v>113</v>
      </c>
      <c r="C372" t="s">
        <v>44</v>
      </c>
      <c r="D372" t="s">
        <v>55</v>
      </c>
      <c r="E372" s="1">
        <v>46120</v>
      </c>
      <c r="F372">
        <v>486</v>
      </c>
      <c r="G372" t="s">
        <v>31</v>
      </c>
      <c r="H372">
        <v>300</v>
      </c>
      <c r="I372">
        <v>183</v>
      </c>
      <c r="J372">
        <v>1103076.99</v>
      </c>
      <c r="K372">
        <v>497703.66</v>
      </c>
      <c r="L372">
        <f t="shared" si="15"/>
        <v>605373.33000000007</v>
      </c>
      <c r="M372" t="str">
        <f t="shared" si="16"/>
        <v>2026-04</v>
      </c>
      <c r="N372">
        <f t="shared" si="17"/>
        <v>0.61</v>
      </c>
    </row>
    <row r="373" spans="1:14">
      <c r="A373" t="s">
        <v>500</v>
      </c>
      <c r="B373" t="s">
        <v>51</v>
      </c>
      <c r="C373" t="s">
        <v>52</v>
      </c>
      <c r="D373" t="s">
        <v>30</v>
      </c>
      <c r="E373" s="1">
        <v>46176</v>
      </c>
      <c r="F373">
        <v>480</v>
      </c>
      <c r="G373" t="s">
        <v>46</v>
      </c>
      <c r="H373">
        <v>150</v>
      </c>
      <c r="I373">
        <v>137</v>
      </c>
      <c r="J373">
        <v>1930233.08</v>
      </c>
      <c r="K373">
        <v>642660.47</v>
      </c>
      <c r="L373">
        <f t="shared" si="15"/>
        <v>1287572.6100000001</v>
      </c>
      <c r="M373" t="str">
        <f t="shared" si="16"/>
        <v>2026-06</v>
      </c>
      <c r="N373">
        <f t="shared" si="17"/>
        <v>0.91333333333333333</v>
      </c>
    </row>
    <row r="374" spans="1:14">
      <c r="A374" t="s">
        <v>501</v>
      </c>
      <c r="B374" t="s">
        <v>342</v>
      </c>
      <c r="C374" t="s">
        <v>30</v>
      </c>
      <c r="D374" t="s">
        <v>55</v>
      </c>
      <c r="E374" s="1">
        <v>46144</v>
      </c>
      <c r="F374">
        <v>582</v>
      </c>
      <c r="G374" t="s">
        <v>35</v>
      </c>
      <c r="H374">
        <v>180</v>
      </c>
      <c r="I374">
        <v>72</v>
      </c>
      <c r="J374">
        <v>490736.92</v>
      </c>
      <c r="K374">
        <v>617182.48</v>
      </c>
      <c r="L374">
        <f t="shared" si="15"/>
        <v>-126445.56</v>
      </c>
      <c r="M374" t="str">
        <f t="shared" si="16"/>
        <v>2026-05</v>
      </c>
      <c r="N374">
        <f t="shared" si="17"/>
        <v>0.4</v>
      </c>
    </row>
    <row r="375" spans="1:14">
      <c r="A375" t="s">
        <v>502</v>
      </c>
      <c r="B375" t="s">
        <v>198</v>
      </c>
      <c r="C375" t="s">
        <v>45</v>
      </c>
      <c r="D375" t="s">
        <v>40</v>
      </c>
      <c r="E375" s="1">
        <v>46057</v>
      </c>
      <c r="F375">
        <v>407</v>
      </c>
      <c r="G375" t="s">
        <v>41</v>
      </c>
      <c r="H375">
        <v>250</v>
      </c>
      <c r="I375">
        <v>207</v>
      </c>
      <c r="J375">
        <v>2958563.88</v>
      </c>
      <c r="K375">
        <v>577119.43000000005</v>
      </c>
      <c r="L375">
        <f t="shared" si="15"/>
        <v>2381444.4499999997</v>
      </c>
      <c r="M375" t="str">
        <f t="shared" si="16"/>
        <v>2026-02</v>
      </c>
      <c r="N375">
        <f t="shared" si="17"/>
        <v>0.82799999999999996</v>
      </c>
    </row>
    <row r="376" spans="1:14">
      <c r="A376" t="s">
        <v>503</v>
      </c>
      <c r="B376" t="s">
        <v>66</v>
      </c>
      <c r="C376" t="s">
        <v>49</v>
      </c>
      <c r="D376" t="s">
        <v>45</v>
      </c>
      <c r="E376" s="1">
        <v>46268</v>
      </c>
      <c r="F376">
        <v>303</v>
      </c>
      <c r="G376" t="s">
        <v>46</v>
      </c>
      <c r="H376">
        <v>180</v>
      </c>
      <c r="I376">
        <v>113</v>
      </c>
      <c r="J376">
        <v>1442408.85</v>
      </c>
      <c r="K376">
        <v>440980.89</v>
      </c>
      <c r="L376">
        <f t="shared" si="15"/>
        <v>1001427.9600000001</v>
      </c>
      <c r="M376" t="str">
        <f t="shared" si="16"/>
        <v>2026-09</v>
      </c>
      <c r="N376">
        <f t="shared" si="17"/>
        <v>0.62777777777777777</v>
      </c>
    </row>
    <row r="377" spans="1:14">
      <c r="A377" t="s">
        <v>504</v>
      </c>
      <c r="B377" t="s">
        <v>230</v>
      </c>
      <c r="C377" t="s">
        <v>49</v>
      </c>
      <c r="D377" t="s">
        <v>34</v>
      </c>
      <c r="E377" s="1">
        <v>46252</v>
      </c>
      <c r="F377">
        <v>572</v>
      </c>
      <c r="G377" t="s">
        <v>35</v>
      </c>
      <c r="H377">
        <v>150</v>
      </c>
      <c r="I377">
        <v>109</v>
      </c>
      <c r="J377">
        <v>539760.35</v>
      </c>
      <c r="K377">
        <v>655040.02</v>
      </c>
      <c r="L377">
        <f t="shared" si="15"/>
        <v>-115279.67000000004</v>
      </c>
      <c r="M377" t="str">
        <f t="shared" si="16"/>
        <v>2026-08</v>
      </c>
      <c r="N377">
        <f t="shared" si="17"/>
        <v>0.72666666666666668</v>
      </c>
    </row>
    <row r="378" spans="1:14">
      <c r="A378" t="s">
        <v>505</v>
      </c>
      <c r="B378" t="s">
        <v>506</v>
      </c>
      <c r="C378" t="s">
        <v>55</v>
      </c>
      <c r="D378" t="s">
        <v>34</v>
      </c>
      <c r="E378" s="1">
        <v>46030</v>
      </c>
      <c r="F378">
        <v>351</v>
      </c>
      <c r="G378" t="s">
        <v>46</v>
      </c>
      <c r="H378">
        <v>300</v>
      </c>
      <c r="I378">
        <v>172</v>
      </c>
      <c r="J378">
        <v>1916200.85</v>
      </c>
      <c r="K378">
        <v>471143.82</v>
      </c>
      <c r="L378">
        <f t="shared" si="15"/>
        <v>1445057.03</v>
      </c>
      <c r="M378" t="str">
        <f t="shared" si="16"/>
        <v>2026-01</v>
      </c>
      <c r="N378">
        <f t="shared" si="17"/>
        <v>0.57333333333333336</v>
      </c>
    </row>
    <row r="379" spans="1:14">
      <c r="A379" t="s">
        <v>507</v>
      </c>
      <c r="B379" t="s">
        <v>141</v>
      </c>
      <c r="C379" t="s">
        <v>69</v>
      </c>
      <c r="D379" t="s">
        <v>44</v>
      </c>
      <c r="E379" s="1">
        <v>46053</v>
      </c>
      <c r="F379">
        <v>319</v>
      </c>
      <c r="G379" t="s">
        <v>41</v>
      </c>
      <c r="H379">
        <v>150</v>
      </c>
      <c r="I379">
        <v>88</v>
      </c>
      <c r="J379">
        <v>1256184.43</v>
      </c>
      <c r="K379">
        <v>403121.34</v>
      </c>
      <c r="L379">
        <f t="shared" si="15"/>
        <v>853063.08999999985</v>
      </c>
      <c r="M379" t="str">
        <f t="shared" si="16"/>
        <v>2026-01</v>
      </c>
      <c r="N379">
        <f t="shared" si="17"/>
        <v>0.58666666666666667</v>
      </c>
    </row>
    <row r="380" spans="1:14">
      <c r="A380" t="s">
        <v>508</v>
      </c>
      <c r="B380" t="s">
        <v>113</v>
      </c>
      <c r="C380" t="s">
        <v>44</v>
      </c>
      <c r="D380" t="s">
        <v>55</v>
      </c>
      <c r="E380" s="1">
        <v>46040</v>
      </c>
      <c r="F380">
        <v>149</v>
      </c>
      <c r="G380" t="s">
        <v>41</v>
      </c>
      <c r="H380">
        <v>250</v>
      </c>
      <c r="I380">
        <v>248</v>
      </c>
      <c r="J380">
        <v>2763189.72</v>
      </c>
      <c r="K380">
        <v>233199.3</v>
      </c>
      <c r="L380">
        <f t="shared" si="15"/>
        <v>2529990.4200000004</v>
      </c>
      <c r="M380" t="str">
        <f t="shared" si="16"/>
        <v>2026-01</v>
      </c>
      <c r="N380">
        <f t="shared" si="17"/>
        <v>0.99199999999999999</v>
      </c>
    </row>
    <row r="381" spans="1:14">
      <c r="A381" t="s">
        <v>509</v>
      </c>
      <c r="B381" t="s">
        <v>299</v>
      </c>
      <c r="C381" t="s">
        <v>34</v>
      </c>
      <c r="D381" t="s">
        <v>44</v>
      </c>
      <c r="E381" s="1">
        <v>46123</v>
      </c>
      <c r="F381">
        <v>416</v>
      </c>
      <c r="G381" t="s">
        <v>46</v>
      </c>
      <c r="H381">
        <v>150</v>
      </c>
      <c r="I381">
        <v>91</v>
      </c>
      <c r="J381">
        <v>798555.52</v>
      </c>
      <c r="K381">
        <v>518777.37</v>
      </c>
      <c r="L381">
        <f t="shared" si="15"/>
        <v>279778.15000000002</v>
      </c>
      <c r="M381" t="str">
        <f t="shared" si="16"/>
        <v>2026-04</v>
      </c>
      <c r="N381">
        <f t="shared" si="17"/>
        <v>0.60666666666666669</v>
      </c>
    </row>
    <row r="382" spans="1:14">
      <c r="A382" t="s">
        <v>510</v>
      </c>
      <c r="B382" t="s">
        <v>37</v>
      </c>
      <c r="C382" t="s">
        <v>30</v>
      </c>
      <c r="D382" t="s">
        <v>29</v>
      </c>
      <c r="E382" s="1">
        <v>46257</v>
      </c>
      <c r="F382">
        <v>176</v>
      </c>
      <c r="G382" t="s">
        <v>31</v>
      </c>
      <c r="H382">
        <v>180</v>
      </c>
      <c r="I382">
        <v>166</v>
      </c>
      <c r="J382">
        <v>729986.19</v>
      </c>
      <c r="K382">
        <v>193658.26</v>
      </c>
      <c r="L382">
        <f t="shared" si="15"/>
        <v>536327.92999999993</v>
      </c>
      <c r="M382" t="str">
        <f t="shared" si="16"/>
        <v>2026-08</v>
      </c>
      <c r="N382">
        <f t="shared" si="17"/>
        <v>0.92222222222222228</v>
      </c>
    </row>
    <row r="383" spans="1:14">
      <c r="A383" t="s">
        <v>511</v>
      </c>
      <c r="B383" t="s">
        <v>153</v>
      </c>
      <c r="C383" t="s">
        <v>69</v>
      </c>
      <c r="D383" t="s">
        <v>40</v>
      </c>
      <c r="E383" s="1">
        <v>46033</v>
      </c>
      <c r="F383">
        <v>255</v>
      </c>
      <c r="G383" t="s">
        <v>41</v>
      </c>
      <c r="H383">
        <v>180</v>
      </c>
      <c r="I383">
        <v>142</v>
      </c>
      <c r="J383">
        <v>542057.78</v>
      </c>
      <c r="K383">
        <v>256444.12</v>
      </c>
      <c r="L383">
        <f t="shared" si="15"/>
        <v>285613.66000000003</v>
      </c>
      <c r="M383" t="str">
        <f t="shared" si="16"/>
        <v>2026-01</v>
      </c>
      <c r="N383">
        <f t="shared" si="17"/>
        <v>0.78888888888888886</v>
      </c>
    </row>
    <row r="384" spans="1:14">
      <c r="A384" t="s">
        <v>512</v>
      </c>
      <c r="B384" t="s">
        <v>90</v>
      </c>
      <c r="C384" t="s">
        <v>40</v>
      </c>
      <c r="D384" t="s">
        <v>30</v>
      </c>
      <c r="E384" s="1">
        <v>46189</v>
      </c>
      <c r="F384">
        <v>471</v>
      </c>
      <c r="G384" t="s">
        <v>35</v>
      </c>
      <c r="H384">
        <v>300</v>
      </c>
      <c r="I384">
        <v>228</v>
      </c>
      <c r="J384">
        <v>2395780.56</v>
      </c>
      <c r="K384">
        <v>573959.04</v>
      </c>
      <c r="L384">
        <f t="shared" si="15"/>
        <v>1821821.52</v>
      </c>
      <c r="M384" t="str">
        <f t="shared" si="16"/>
        <v>2026-06</v>
      </c>
      <c r="N384">
        <f t="shared" si="17"/>
        <v>0.76</v>
      </c>
    </row>
    <row r="385" spans="1:14">
      <c r="A385" t="s">
        <v>513</v>
      </c>
      <c r="B385" t="s">
        <v>92</v>
      </c>
      <c r="C385" t="s">
        <v>44</v>
      </c>
      <c r="D385" t="s">
        <v>69</v>
      </c>
      <c r="E385" s="1">
        <v>46273</v>
      </c>
      <c r="F385">
        <v>182</v>
      </c>
      <c r="G385" t="s">
        <v>31</v>
      </c>
      <c r="H385">
        <v>250</v>
      </c>
      <c r="I385">
        <v>132</v>
      </c>
      <c r="J385">
        <v>1571792.96</v>
      </c>
      <c r="K385">
        <v>247106.19</v>
      </c>
      <c r="L385">
        <f t="shared" si="15"/>
        <v>1324686.77</v>
      </c>
      <c r="M385" t="str">
        <f t="shared" si="16"/>
        <v>2026-09</v>
      </c>
      <c r="N385">
        <f t="shared" si="17"/>
        <v>0.52800000000000002</v>
      </c>
    </row>
    <row r="386" spans="1:14">
      <c r="A386" t="s">
        <v>514</v>
      </c>
      <c r="B386" t="s">
        <v>83</v>
      </c>
      <c r="C386" t="s">
        <v>30</v>
      </c>
      <c r="D386" t="s">
        <v>40</v>
      </c>
      <c r="E386" s="1">
        <v>46030</v>
      </c>
      <c r="F386">
        <v>181</v>
      </c>
      <c r="G386" t="s">
        <v>35</v>
      </c>
      <c r="H386">
        <v>250</v>
      </c>
      <c r="I386">
        <v>181</v>
      </c>
      <c r="J386">
        <v>558929.78</v>
      </c>
      <c r="K386">
        <v>218770.05</v>
      </c>
      <c r="L386">
        <f t="shared" si="15"/>
        <v>340159.73000000004</v>
      </c>
      <c r="M386" t="str">
        <f t="shared" si="16"/>
        <v>2026-01</v>
      </c>
      <c r="N386">
        <f t="shared" si="17"/>
        <v>0.72399999999999998</v>
      </c>
    </row>
    <row r="387" spans="1:14">
      <c r="A387" t="s">
        <v>515</v>
      </c>
      <c r="B387" t="s">
        <v>282</v>
      </c>
      <c r="C387" t="s">
        <v>52</v>
      </c>
      <c r="D387" t="s">
        <v>29</v>
      </c>
      <c r="E387" s="1">
        <v>46037</v>
      </c>
      <c r="F387">
        <v>285</v>
      </c>
      <c r="G387" t="s">
        <v>41</v>
      </c>
      <c r="H387">
        <v>180</v>
      </c>
      <c r="I387">
        <v>162</v>
      </c>
      <c r="J387">
        <v>1740992.32</v>
      </c>
      <c r="K387">
        <v>241594.23999999999</v>
      </c>
      <c r="L387">
        <f t="shared" ref="L387:L450" si="18">J387-K387</f>
        <v>1499398.08</v>
      </c>
      <c r="M387" t="str">
        <f t="shared" ref="M387:M450" si="19">TEXT(E387,"YYYY-MM")</f>
        <v>2026-01</v>
      </c>
      <c r="N387">
        <f t="shared" ref="N387:N450" si="20">I387/H387</f>
        <v>0.9</v>
      </c>
    </row>
    <row r="388" spans="1:14">
      <c r="A388" t="s">
        <v>516</v>
      </c>
      <c r="B388" t="s">
        <v>104</v>
      </c>
      <c r="C388" t="s">
        <v>34</v>
      </c>
      <c r="D388" t="s">
        <v>52</v>
      </c>
      <c r="E388" s="1">
        <v>46176</v>
      </c>
      <c r="F388">
        <v>553</v>
      </c>
      <c r="G388" t="s">
        <v>35</v>
      </c>
      <c r="H388">
        <v>180</v>
      </c>
      <c r="I388">
        <v>170</v>
      </c>
      <c r="J388">
        <v>630575.87</v>
      </c>
      <c r="K388">
        <v>633880.16</v>
      </c>
      <c r="L388">
        <f t="shared" si="18"/>
        <v>-3304.2900000000373</v>
      </c>
      <c r="M388" t="str">
        <f t="shared" si="19"/>
        <v>2026-06</v>
      </c>
      <c r="N388">
        <f t="shared" si="20"/>
        <v>0.94444444444444442</v>
      </c>
    </row>
    <row r="389" spans="1:14">
      <c r="A389" t="s">
        <v>517</v>
      </c>
      <c r="B389" t="s">
        <v>256</v>
      </c>
      <c r="C389" t="s">
        <v>45</v>
      </c>
      <c r="D389" t="s">
        <v>44</v>
      </c>
      <c r="E389" s="1">
        <v>46114</v>
      </c>
      <c r="F389">
        <v>238</v>
      </c>
      <c r="G389" t="s">
        <v>35</v>
      </c>
      <c r="H389">
        <v>250</v>
      </c>
      <c r="I389">
        <v>209</v>
      </c>
      <c r="J389">
        <v>1855027.34</v>
      </c>
      <c r="K389">
        <v>313212.79999999999</v>
      </c>
      <c r="L389">
        <f t="shared" si="18"/>
        <v>1541814.54</v>
      </c>
      <c r="M389" t="str">
        <f t="shared" si="19"/>
        <v>2026-04</v>
      </c>
      <c r="N389">
        <f t="shared" si="20"/>
        <v>0.83599999999999997</v>
      </c>
    </row>
    <row r="390" spans="1:14">
      <c r="A390" t="s">
        <v>518</v>
      </c>
      <c r="B390" t="s">
        <v>102</v>
      </c>
      <c r="C390" t="s">
        <v>45</v>
      </c>
      <c r="D390" t="s">
        <v>55</v>
      </c>
      <c r="E390" s="1">
        <v>46028</v>
      </c>
      <c r="F390">
        <v>491</v>
      </c>
      <c r="G390" t="s">
        <v>31</v>
      </c>
      <c r="H390">
        <v>180</v>
      </c>
      <c r="I390">
        <v>62</v>
      </c>
      <c r="J390">
        <v>312111.03999999998</v>
      </c>
      <c r="K390">
        <v>353020.07</v>
      </c>
      <c r="L390">
        <f t="shared" si="18"/>
        <v>-40909.030000000028</v>
      </c>
      <c r="M390" t="str">
        <f t="shared" si="19"/>
        <v>2026-01</v>
      </c>
      <c r="N390">
        <f t="shared" si="20"/>
        <v>0.34444444444444444</v>
      </c>
    </row>
    <row r="391" spans="1:14">
      <c r="A391" t="s">
        <v>519</v>
      </c>
      <c r="B391" t="s">
        <v>190</v>
      </c>
      <c r="C391" t="s">
        <v>44</v>
      </c>
      <c r="D391" t="s">
        <v>52</v>
      </c>
      <c r="E391" s="1">
        <v>46136</v>
      </c>
      <c r="F391">
        <v>170</v>
      </c>
      <c r="G391" t="s">
        <v>41</v>
      </c>
      <c r="H391">
        <v>250</v>
      </c>
      <c r="I391">
        <v>196</v>
      </c>
      <c r="J391">
        <v>2922394.39</v>
      </c>
      <c r="K391">
        <v>238639.79</v>
      </c>
      <c r="L391">
        <f t="shared" si="18"/>
        <v>2683754.6</v>
      </c>
      <c r="M391" t="str">
        <f t="shared" si="19"/>
        <v>2026-04</v>
      </c>
      <c r="N391">
        <f t="shared" si="20"/>
        <v>0.78400000000000003</v>
      </c>
    </row>
    <row r="392" spans="1:14">
      <c r="A392" t="s">
        <v>520</v>
      </c>
      <c r="B392" t="s">
        <v>66</v>
      </c>
      <c r="C392" t="s">
        <v>49</v>
      </c>
      <c r="D392" t="s">
        <v>45</v>
      </c>
      <c r="E392" s="1">
        <v>46297</v>
      </c>
      <c r="F392">
        <v>135</v>
      </c>
      <c r="G392" t="s">
        <v>31</v>
      </c>
      <c r="H392">
        <v>300</v>
      </c>
      <c r="I392">
        <v>141</v>
      </c>
      <c r="J392">
        <v>1660803.11</v>
      </c>
      <c r="K392">
        <v>252665.36</v>
      </c>
      <c r="L392">
        <f t="shared" si="18"/>
        <v>1408137.75</v>
      </c>
      <c r="M392" t="str">
        <f t="shared" si="19"/>
        <v>2026-10</v>
      </c>
      <c r="N392">
        <f t="shared" si="20"/>
        <v>0.47</v>
      </c>
    </row>
    <row r="393" spans="1:14">
      <c r="A393" t="s">
        <v>521</v>
      </c>
      <c r="B393" t="s">
        <v>39</v>
      </c>
      <c r="C393" t="s">
        <v>29</v>
      </c>
      <c r="D393" t="s">
        <v>40</v>
      </c>
      <c r="E393" s="1">
        <v>46102</v>
      </c>
      <c r="F393">
        <v>353</v>
      </c>
      <c r="G393" t="s">
        <v>41</v>
      </c>
      <c r="H393">
        <v>180</v>
      </c>
      <c r="I393">
        <v>136</v>
      </c>
      <c r="J393">
        <v>1335877.28</v>
      </c>
      <c r="K393">
        <v>281122.65000000002</v>
      </c>
      <c r="L393">
        <f t="shared" si="18"/>
        <v>1054754.6299999999</v>
      </c>
      <c r="M393" t="str">
        <f t="shared" si="19"/>
        <v>2026-03</v>
      </c>
      <c r="N393">
        <f t="shared" si="20"/>
        <v>0.75555555555555554</v>
      </c>
    </row>
    <row r="394" spans="1:14">
      <c r="A394" t="s">
        <v>522</v>
      </c>
      <c r="B394" t="s">
        <v>163</v>
      </c>
      <c r="C394" t="s">
        <v>29</v>
      </c>
      <c r="D394" t="s">
        <v>69</v>
      </c>
      <c r="E394" s="1">
        <v>46087</v>
      </c>
      <c r="F394">
        <v>123</v>
      </c>
      <c r="G394" t="s">
        <v>31</v>
      </c>
      <c r="H394">
        <v>250</v>
      </c>
      <c r="I394">
        <v>156</v>
      </c>
      <c r="J394">
        <v>1251225.21</v>
      </c>
      <c r="K394">
        <v>217307.55</v>
      </c>
      <c r="L394">
        <f t="shared" si="18"/>
        <v>1033917.6599999999</v>
      </c>
      <c r="M394" t="str">
        <f t="shared" si="19"/>
        <v>2026-03</v>
      </c>
      <c r="N394">
        <f t="shared" si="20"/>
        <v>0.624</v>
      </c>
    </row>
    <row r="395" spans="1:14">
      <c r="A395" t="s">
        <v>523</v>
      </c>
      <c r="B395" t="s">
        <v>200</v>
      </c>
      <c r="C395" t="s">
        <v>69</v>
      </c>
      <c r="D395" t="s">
        <v>52</v>
      </c>
      <c r="E395" s="1">
        <v>46110</v>
      </c>
      <c r="F395">
        <v>362</v>
      </c>
      <c r="G395" t="s">
        <v>35</v>
      </c>
      <c r="H395">
        <v>250</v>
      </c>
      <c r="I395">
        <v>219</v>
      </c>
      <c r="J395">
        <v>1900116.28</v>
      </c>
      <c r="K395">
        <v>316976.09000000003</v>
      </c>
      <c r="L395">
        <f t="shared" si="18"/>
        <v>1583140.19</v>
      </c>
      <c r="M395" t="str">
        <f t="shared" si="19"/>
        <v>2026-03</v>
      </c>
      <c r="N395">
        <f t="shared" si="20"/>
        <v>0.876</v>
      </c>
    </row>
    <row r="396" spans="1:14">
      <c r="A396" t="s">
        <v>524</v>
      </c>
      <c r="B396" t="s">
        <v>230</v>
      </c>
      <c r="C396" t="s">
        <v>49</v>
      </c>
      <c r="D396" t="s">
        <v>34</v>
      </c>
      <c r="E396" s="1">
        <v>46199</v>
      </c>
      <c r="F396">
        <v>402</v>
      </c>
      <c r="G396" t="s">
        <v>35</v>
      </c>
      <c r="H396">
        <v>150</v>
      </c>
      <c r="I396">
        <v>141</v>
      </c>
      <c r="J396">
        <v>1437014.39</v>
      </c>
      <c r="K396">
        <v>420557.39</v>
      </c>
      <c r="L396">
        <f t="shared" si="18"/>
        <v>1016456.9999999999</v>
      </c>
      <c r="M396" t="str">
        <f t="shared" si="19"/>
        <v>2026-06</v>
      </c>
      <c r="N396">
        <f t="shared" si="20"/>
        <v>0.94</v>
      </c>
    </row>
    <row r="397" spans="1:14">
      <c r="A397" t="s">
        <v>525</v>
      </c>
      <c r="B397" t="s">
        <v>66</v>
      </c>
      <c r="C397" t="s">
        <v>49</v>
      </c>
      <c r="D397" t="s">
        <v>45</v>
      </c>
      <c r="E397" s="1">
        <v>46097</v>
      </c>
      <c r="F397">
        <v>227</v>
      </c>
      <c r="G397" t="s">
        <v>31</v>
      </c>
      <c r="H397">
        <v>250</v>
      </c>
      <c r="I397">
        <v>166</v>
      </c>
      <c r="J397">
        <v>1437525.79</v>
      </c>
      <c r="K397">
        <v>253026.95</v>
      </c>
      <c r="L397">
        <f t="shared" si="18"/>
        <v>1184498.8400000001</v>
      </c>
      <c r="M397" t="str">
        <f t="shared" si="19"/>
        <v>2026-03</v>
      </c>
      <c r="N397">
        <f t="shared" si="20"/>
        <v>0.66400000000000003</v>
      </c>
    </row>
    <row r="398" spans="1:14">
      <c r="A398" t="s">
        <v>526</v>
      </c>
      <c r="B398" t="s">
        <v>62</v>
      </c>
      <c r="C398" t="s">
        <v>52</v>
      </c>
      <c r="D398" t="s">
        <v>40</v>
      </c>
      <c r="E398" s="1">
        <v>46175</v>
      </c>
      <c r="F398">
        <v>488</v>
      </c>
      <c r="G398" t="s">
        <v>41</v>
      </c>
      <c r="H398">
        <v>300</v>
      </c>
      <c r="I398">
        <v>175</v>
      </c>
      <c r="J398">
        <v>1736945.87</v>
      </c>
      <c r="K398">
        <v>698248.93</v>
      </c>
      <c r="L398">
        <f t="shared" si="18"/>
        <v>1038696.9400000001</v>
      </c>
      <c r="M398" t="str">
        <f t="shared" si="19"/>
        <v>2026-06</v>
      </c>
      <c r="N398">
        <f t="shared" si="20"/>
        <v>0.58333333333333337</v>
      </c>
    </row>
    <row r="399" spans="1:14">
      <c r="A399" t="s">
        <v>527</v>
      </c>
      <c r="B399" t="s">
        <v>210</v>
      </c>
      <c r="C399" t="s">
        <v>55</v>
      </c>
      <c r="D399" t="s">
        <v>69</v>
      </c>
      <c r="E399" s="1">
        <v>46258</v>
      </c>
      <c r="F399">
        <v>498</v>
      </c>
      <c r="G399" t="s">
        <v>46</v>
      </c>
      <c r="H399">
        <v>180</v>
      </c>
      <c r="I399">
        <v>138</v>
      </c>
      <c r="J399">
        <v>1333301.55</v>
      </c>
      <c r="K399">
        <v>543973.88</v>
      </c>
      <c r="L399">
        <f t="shared" si="18"/>
        <v>789327.67</v>
      </c>
      <c r="M399" t="str">
        <f t="shared" si="19"/>
        <v>2026-08</v>
      </c>
      <c r="N399">
        <f t="shared" si="20"/>
        <v>0.76666666666666672</v>
      </c>
    </row>
    <row r="400" spans="1:14">
      <c r="A400" t="s">
        <v>528</v>
      </c>
      <c r="B400" t="s">
        <v>122</v>
      </c>
      <c r="C400" t="s">
        <v>29</v>
      </c>
      <c r="D400" t="s">
        <v>45</v>
      </c>
      <c r="E400" s="1">
        <v>46266</v>
      </c>
      <c r="F400">
        <v>333</v>
      </c>
      <c r="G400" t="s">
        <v>35</v>
      </c>
      <c r="H400">
        <v>300</v>
      </c>
      <c r="I400">
        <v>293</v>
      </c>
      <c r="J400">
        <v>2146080.23</v>
      </c>
      <c r="K400">
        <v>457488.07</v>
      </c>
      <c r="L400">
        <f t="shared" si="18"/>
        <v>1688592.16</v>
      </c>
      <c r="M400" t="str">
        <f t="shared" si="19"/>
        <v>2026-09</v>
      </c>
      <c r="N400">
        <f t="shared" si="20"/>
        <v>0.97666666666666668</v>
      </c>
    </row>
    <row r="401" spans="1:14">
      <c r="A401" t="s">
        <v>529</v>
      </c>
      <c r="B401" t="s">
        <v>530</v>
      </c>
      <c r="C401" t="s">
        <v>34</v>
      </c>
      <c r="D401" t="s">
        <v>45</v>
      </c>
      <c r="E401" s="1">
        <v>46165</v>
      </c>
      <c r="F401">
        <v>128</v>
      </c>
      <c r="G401" t="s">
        <v>31</v>
      </c>
      <c r="H401">
        <v>150</v>
      </c>
      <c r="I401">
        <v>69</v>
      </c>
      <c r="J401">
        <v>875790.35</v>
      </c>
      <c r="K401">
        <v>218377.89</v>
      </c>
      <c r="L401">
        <f t="shared" si="18"/>
        <v>657412.46</v>
      </c>
      <c r="M401" t="str">
        <f t="shared" si="19"/>
        <v>2026-05</v>
      </c>
      <c r="N401">
        <f t="shared" si="20"/>
        <v>0.46</v>
      </c>
    </row>
    <row r="402" spans="1:14">
      <c r="A402" t="s">
        <v>531</v>
      </c>
      <c r="B402" t="s">
        <v>68</v>
      </c>
      <c r="C402" t="s">
        <v>69</v>
      </c>
      <c r="D402" t="s">
        <v>45</v>
      </c>
      <c r="E402" s="1">
        <v>46121</v>
      </c>
      <c r="F402">
        <v>544</v>
      </c>
      <c r="G402" t="s">
        <v>41</v>
      </c>
      <c r="H402">
        <v>180</v>
      </c>
      <c r="I402">
        <v>169</v>
      </c>
      <c r="J402">
        <v>1351180.92</v>
      </c>
      <c r="K402">
        <v>497782.36</v>
      </c>
      <c r="L402">
        <f t="shared" si="18"/>
        <v>853398.55999999994</v>
      </c>
      <c r="M402" t="str">
        <f t="shared" si="19"/>
        <v>2026-04</v>
      </c>
      <c r="N402">
        <f t="shared" si="20"/>
        <v>0.93888888888888888</v>
      </c>
    </row>
    <row r="403" spans="1:14">
      <c r="A403" t="s">
        <v>532</v>
      </c>
      <c r="B403" t="s">
        <v>190</v>
      </c>
      <c r="C403" t="s">
        <v>44</v>
      </c>
      <c r="D403" t="s">
        <v>52</v>
      </c>
      <c r="E403" s="1">
        <v>46173</v>
      </c>
      <c r="F403">
        <v>265</v>
      </c>
      <c r="G403" t="s">
        <v>46</v>
      </c>
      <c r="H403">
        <v>250</v>
      </c>
      <c r="I403">
        <v>246</v>
      </c>
      <c r="J403">
        <v>2998814.7200000002</v>
      </c>
      <c r="K403">
        <v>385802.12</v>
      </c>
      <c r="L403">
        <f t="shared" si="18"/>
        <v>2613012.6</v>
      </c>
      <c r="M403" t="str">
        <f t="shared" si="19"/>
        <v>2026-05</v>
      </c>
      <c r="N403">
        <f t="shared" si="20"/>
        <v>0.98399999999999999</v>
      </c>
    </row>
    <row r="404" spans="1:14">
      <c r="A404" t="s">
        <v>533</v>
      </c>
      <c r="B404" t="s">
        <v>98</v>
      </c>
      <c r="C404" t="s">
        <v>40</v>
      </c>
      <c r="D404" t="s">
        <v>34</v>
      </c>
      <c r="E404" s="1">
        <v>46144</v>
      </c>
      <c r="F404">
        <v>165</v>
      </c>
      <c r="G404" t="s">
        <v>31</v>
      </c>
      <c r="H404">
        <v>180</v>
      </c>
      <c r="I404">
        <v>148</v>
      </c>
      <c r="J404">
        <v>1203180.55</v>
      </c>
      <c r="K404">
        <v>247022.75</v>
      </c>
      <c r="L404">
        <f t="shared" si="18"/>
        <v>956157.8</v>
      </c>
      <c r="M404" t="str">
        <f t="shared" si="19"/>
        <v>2026-05</v>
      </c>
      <c r="N404">
        <f t="shared" si="20"/>
        <v>0.82222222222222219</v>
      </c>
    </row>
    <row r="405" spans="1:14">
      <c r="A405" t="s">
        <v>534</v>
      </c>
      <c r="B405" t="s">
        <v>71</v>
      </c>
      <c r="C405" t="s">
        <v>44</v>
      </c>
      <c r="D405" t="s">
        <v>40</v>
      </c>
      <c r="E405" s="1">
        <v>46166</v>
      </c>
      <c r="F405">
        <v>443</v>
      </c>
      <c r="G405" t="s">
        <v>35</v>
      </c>
      <c r="H405">
        <v>150</v>
      </c>
      <c r="I405">
        <v>117</v>
      </c>
      <c r="J405">
        <v>1467261.46</v>
      </c>
      <c r="K405">
        <v>396888.93</v>
      </c>
      <c r="L405">
        <f t="shared" si="18"/>
        <v>1070372.53</v>
      </c>
      <c r="M405" t="str">
        <f t="shared" si="19"/>
        <v>2026-05</v>
      </c>
      <c r="N405">
        <f t="shared" si="20"/>
        <v>0.78</v>
      </c>
    </row>
    <row r="406" spans="1:14">
      <c r="A406" t="s">
        <v>535</v>
      </c>
      <c r="B406" t="s">
        <v>218</v>
      </c>
      <c r="C406" t="s">
        <v>55</v>
      </c>
      <c r="D406" t="s">
        <v>29</v>
      </c>
      <c r="E406" s="1">
        <v>46166</v>
      </c>
      <c r="F406">
        <v>170</v>
      </c>
      <c r="G406" t="s">
        <v>46</v>
      </c>
      <c r="H406">
        <v>300</v>
      </c>
      <c r="I406">
        <v>228</v>
      </c>
      <c r="J406">
        <v>1364004.95</v>
      </c>
      <c r="K406">
        <v>272716.17</v>
      </c>
      <c r="L406">
        <f t="shared" si="18"/>
        <v>1091288.78</v>
      </c>
      <c r="M406" t="str">
        <f t="shared" si="19"/>
        <v>2026-05</v>
      </c>
      <c r="N406">
        <f t="shared" si="20"/>
        <v>0.76</v>
      </c>
    </row>
    <row r="407" spans="1:14">
      <c r="A407" t="s">
        <v>536</v>
      </c>
      <c r="B407" t="s">
        <v>198</v>
      </c>
      <c r="C407" t="s">
        <v>45</v>
      </c>
      <c r="D407" t="s">
        <v>40</v>
      </c>
      <c r="E407" s="1">
        <v>46056</v>
      </c>
      <c r="F407">
        <v>577</v>
      </c>
      <c r="G407" t="s">
        <v>35</v>
      </c>
      <c r="H407">
        <v>180</v>
      </c>
      <c r="I407">
        <v>78</v>
      </c>
      <c r="J407">
        <v>541157.82999999996</v>
      </c>
      <c r="K407">
        <v>400218.64</v>
      </c>
      <c r="L407">
        <f t="shared" si="18"/>
        <v>140939.18999999994</v>
      </c>
      <c r="M407" t="str">
        <f t="shared" si="19"/>
        <v>2026-02</v>
      </c>
      <c r="N407">
        <f t="shared" si="20"/>
        <v>0.43333333333333335</v>
      </c>
    </row>
    <row r="408" spans="1:14">
      <c r="A408" t="s">
        <v>537</v>
      </c>
      <c r="B408" t="s">
        <v>141</v>
      </c>
      <c r="C408" t="s">
        <v>69</v>
      </c>
      <c r="D408" t="s">
        <v>44</v>
      </c>
      <c r="E408" s="1">
        <v>46100</v>
      </c>
      <c r="F408">
        <v>80</v>
      </c>
      <c r="G408" t="s">
        <v>46</v>
      </c>
      <c r="H408">
        <v>300</v>
      </c>
      <c r="I408">
        <v>152</v>
      </c>
      <c r="J408">
        <v>1827329.07</v>
      </c>
      <c r="K408">
        <v>235468.99</v>
      </c>
      <c r="L408">
        <f t="shared" si="18"/>
        <v>1591860.08</v>
      </c>
      <c r="M408" t="str">
        <f t="shared" si="19"/>
        <v>2026-03</v>
      </c>
      <c r="N408">
        <f t="shared" si="20"/>
        <v>0.50666666666666671</v>
      </c>
    </row>
    <row r="409" spans="1:14">
      <c r="A409" t="s">
        <v>538</v>
      </c>
      <c r="B409" t="s">
        <v>83</v>
      </c>
      <c r="C409" t="s">
        <v>30</v>
      </c>
      <c r="D409" t="s">
        <v>40</v>
      </c>
      <c r="E409" s="1">
        <v>46222</v>
      </c>
      <c r="F409">
        <v>371</v>
      </c>
      <c r="G409" t="s">
        <v>46</v>
      </c>
      <c r="H409">
        <v>300</v>
      </c>
      <c r="I409">
        <v>84</v>
      </c>
      <c r="J409">
        <v>1132027.49</v>
      </c>
      <c r="K409">
        <v>379352.54</v>
      </c>
      <c r="L409">
        <f t="shared" si="18"/>
        <v>752674.95</v>
      </c>
      <c r="M409" t="str">
        <f t="shared" si="19"/>
        <v>2026-07</v>
      </c>
      <c r="N409">
        <f t="shared" si="20"/>
        <v>0.28000000000000003</v>
      </c>
    </row>
    <row r="410" spans="1:14">
      <c r="A410" t="s">
        <v>539</v>
      </c>
      <c r="B410" t="s">
        <v>342</v>
      </c>
      <c r="C410" t="s">
        <v>30</v>
      </c>
      <c r="D410" t="s">
        <v>55</v>
      </c>
      <c r="E410" s="1">
        <v>46320</v>
      </c>
      <c r="F410">
        <v>543</v>
      </c>
      <c r="G410" t="s">
        <v>41</v>
      </c>
      <c r="H410">
        <v>150</v>
      </c>
      <c r="I410">
        <v>108</v>
      </c>
      <c r="J410">
        <v>1107189.6200000001</v>
      </c>
      <c r="K410">
        <v>521687.46</v>
      </c>
      <c r="L410">
        <f t="shared" si="18"/>
        <v>585502.16000000015</v>
      </c>
      <c r="M410" t="str">
        <f t="shared" si="19"/>
        <v>2026-10</v>
      </c>
      <c r="N410">
        <f t="shared" si="20"/>
        <v>0.72</v>
      </c>
    </row>
    <row r="411" spans="1:14">
      <c r="A411" t="s">
        <v>540</v>
      </c>
      <c r="B411" t="s">
        <v>141</v>
      </c>
      <c r="C411" t="s">
        <v>69</v>
      </c>
      <c r="D411" t="s">
        <v>44</v>
      </c>
      <c r="E411" s="1">
        <v>46275</v>
      </c>
      <c r="F411">
        <v>376</v>
      </c>
      <c r="G411" t="s">
        <v>31</v>
      </c>
      <c r="H411">
        <v>250</v>
      </c>
      <c r="I411">
        <v>66</v>
      </c>
      <c r="J411">
        <v>438959.56</v>
      </c>
      <c r="K411">
        <v>349649.77</v>
      </c>
      <c r="L411">
        <f t="shared" si="18"/>
        <v>89309.789999999979</v>
      </c>
      <c r="M411" t="str">
        <f t="shared" si="19"/>
        <v>2026-09</v>
      </c>
      <c r="N411">
        <f t="shared" si="20"/>
        <v>0.26400000000000001</v>
      </c>
    </row>
    <row r="412" spans="1:14">
      <c r="A412" t="s">
        <v>541</v>
      </c>
      <c r="B412" t="s">
        <v>208</v>
      </c>
      <c r="C412" t="s">
        <v>44</v>
      </c>
      <c r="D412" t="s">
        <v>49</v>
      </c>
      <c r="E412" s="1">
        <v>46269</v>
      </c>
      <c r="F412">
        <v>446</v>
      </c>
      <c r="G412" t="s">
        <v>46</v>
      </c>
      <c r="H412">
        <v>250</v>
      </c>
      <c r="I412">
        <v>154</v>
      </c>
      <c r="J412">
        <v>706468.13</v>
      </c>
      <c r="K412">
        <v>653203.59</v>
      </c>
      <c r="L412">
        <f t="shared" si="18"/>
        <v>53264.540000000037</v>
      </c>
      <c r="M412" t="str">
        <f t="shared" si="19"/>
        <v>2026-09</v>
      </c>
      <c r="N412">
        <f t="shared" si="20"/>
        <v>0.61599999999999999</v>
      </c>
    </row>
    <row r="413" spans="1:14">
      <c r="A413" t="s">
        <v>542</v>
      </c>
      <c r="B413" t="s">
        <v>98</v>
      </c>
      <c r="C413" t="s">
        <v>40</v>
      </c>
      <c r="D413" t="s">
        <v>34</v>
      </c>
      <c r="E413" s="1">
        <v>46120</v>
      </c>
      <c r="F413">
        <v>141</v>
      </c>
      <c r="G413" t="s">
        <v>46</v>
      </c>
      <c r="H413">
        <v>250</v>
      </c>
      <c r="I413">
        <v>208</v>
      </c>
      <c r="J413">
        <v>928232.65</v>
      </c>
      <c r="K413">
        <v>236545.51</v>
      </c>
      <c r="L413">
        <f t="shared" si="18"/>
        <v>691687.14</v>
      </c>
      <c r="M413" t="str">
        <f t="shared" si="19"/>
        <v>2026-04</v>
      </c>
      <c r="N413">
        <f t="shared" si="20"/>
        <v>0.83199999999999996</v>
      </c>
    </row>
    <row r="414" spans="1:14">
      <c r="A414" t="s">
        <v>543</v>
      </c>
      <c r="B414" t="s">
        <v>165</v>
      </c>
      <c r="C414" t="s">
        <v>34</v>
      </c>
      <c r="D414" t="s">
        <v>29</v>
      </c>
      <c r="E414" s="1">
        <v>46107</v>
      </c>
      <c r="F414">
        <v>504</v>
      </c>
      <c r="G414" t="s">
        <v>41</v>
      </c>
      <c r="H414">
        <v>180</v>
      </c>
      <c r="I414">
        <v>84</v>
      </c>
      <c r="J414">
        <v>1154217.06</v>
      </c>
      <c r="K414">
        <v>643023.93999999994</v>
      </c>
      <c r="L414">
        <f t="shared" si="18"/>
        <v>511193.12000000011</v>
      </c>
      <c r="M414" t="str">
        <f t="shared" si="19"/>
        <v>2026-03</v>
      </c>
      <c r="N414">
        <f t="shared" si="20"/>
        <v>0.46666666666666667</v>
      </c>
    </row>
    <row r="415" spans="1:14">
      <c r="A415" t="s">
        <v>544</v>
      </c>
      <c r="B415" t="s">
        <v>357</v>
      </c>
      <c r="C415" t="s">
        <v>55</v>
      </c>
      <c r="D415" t="s">
        <v>52</v>
      </c>
      <c r="E415" s="1">
        <v>46103</v>
      </c>
      <c r="F415">
        <v>384</v>
      </c>
      <c r="G415" t="s">
        <v>41</v>
      </c>
      <c r="H415">
        <v>300</v>
      </c>
      <c r="I415">
        <v>241</v>
      </c>
      <c r="J415">
        <v>1720788.7</v>
      </c>
      <c r="K415">
        <v>356712.15</v>
      </c>
      <c r="L415">
        <f t="shared" si="18"/>
        <v>1364076.5499999998</v>
      </c>
      <c r="M415" t="str">
        <f t="shared" si="19"/>
        <v>2026-03</v>
      </c>
      <c r="N415">
        <f t="shared" si="20"/>
        <v>0.80333333333333334</v>
      </c>
    </row>
    <row r="416" spans="1:14">
      <c r="A416" t="s">
        <v>545</v>
      </c>
      <c r="B416" t="s">
        <v>149</v>
      </c>
      <c r="C416" t="s">
        <v>49</v>
      </c>
      <c r="D416" t="s">
        <v>69</v>
      </c>
      <c r="E416" s="1">
        <v>46236</v>
      </c>
      <c r="F416">
        <v>337</v>
      </c>
      <c r="G416" t="s">
        <v>46</v>
      </c>
      <c r="H416">
        <v>250</v>
      </c>
      <c r="I416">
        <v>206</v>
      </c>
      <c r="J416">
        <v>915538.76</v>
      </c>
      <c r="K416">
        <v>309447.96000000002</v>
      </c>
      <c r="L416">
        <f t="shared" si="18"/>
        <v>606090.80000000005</v>
      </c>
      <c r="M416" t="str">
        <f t="shared" si="19"/>
        <v>2026-08</v>
      </c>
      <c r="N416">
        <f t="shared" si="20"/>
        <v>0.82399999999999995</v>
      </c>
    </row>
    <row r="417" spans="1:14">
      <c r="A417" t="s">
        <v>546</v>
      </c>
      <c r="B417" t="s">
        <v>81</v>
      </c>
      <c r="C417" t="s">
        <v>34</v>
      </c>
      <c r="D417" t="s">
        <v>69</v>
      </c>
      <c r="E417" s="1">
        <v>46305</v>
      </c>
      <c r="F417">
        <v>118</v>
      </c>
      <c r="G417" t="s">
        <v>35</v>
      </c>
      <c r="H417">
        <v>150</v>
      </c>
      <c r="I417">
        <v>77</v>
      </c>
      <c r="J417">
        <v>447677.52</v>
      </c>
      <c r="K417">
        <v>195898.71</v>
      </c>
      <c r="L417">
        <f t="shared" si="18"/>
        <v>251778.81000000003</v>
      </c>
      <c r="M417" t="str">
        <f t="shared" si="19"/>
        <v>2026-10</v>
      </c>
      <c r="N417">
        <f t="shared" si="20"/>
        <v>0.51333333333333331</v>
      </c>
    </row>
    <row r="418" spans="1:14">
      <c r="A418" t="s">
        <v>547</v>
      </c>
      <c r="B418" t="s">
        <v>230</v>
      </c>
      <c r="C418" t="s">
        <v>49</v>
      </c>
      <c r="D418" t="s">
        <v>34</v>
      </c>
      <c r="E418" s="1">
        <v>46135</v>
      </c>
      <c r="F418">
        <v>288</v>
      </c>
      <c r="G418" t="s">
        <v>31</v>
      </c>
      <c r="H418">
        <v>250</v>
      </c>
      <c r="I418">
        <v>238</v>
      </c>
      <c r="J418">
        <v>2167401.46</v>
      </c>
      <c r="K418">
        <v>442667.45</v>
      </c>
      <c r="L418">
        <f t="shared" si="18"/>
        <v>1724734.01</v>
      </c>
      <c r="M418" t="str">
        <f t="shared" si="19"/>
        <v>2026-04</v>
      </c>
      <c r="N418">
        <f t="shared" si="20"/>
        <v>0.95199999999999996</v>
      </c>
    </row>
    <row r="419" spans="1:14">
      <c r="A419" t="s">
        <v>548</v>
      </c>
      <c r="B419" t="s">
        <v>192</v>
      </c>
      <c r="C419" t="s">
        <v>49</v>
      </c>
      <c r="D419" t="s">
        <v>44</v>
      </c>
      <c r="E419" s="1">
        <v>46270</v>
      </c>
      <c r="F419">
        <v>205</v>
      </c>
      <c r="G419" t="s">
        <v>46</v>
      </c>
      <c r="H419">
        <v>250</v>
      </c>
      <c r="I419">
        <v>89</v>
      </c>
      <c r="J419">
        <v>565447.59</v>
      </c>
      <c r="K419">
        <v>339788.77</v>
      </c>
      <c r="L419">
        <f t="shared" si="18"/>
        <v>225658.81999999995</v>
      </c>
      <c r="M419" t="str">
        <f t="shared" si="19"/>
        <v>2026-09</v>
      </c>
      <c r="N419">
        <f t="shared" si="20"/>
        <v>0.35599999999999998</v>
      </c>
    </row>
    <row r="420" spans="1:14">
      <c r="A420" t="s">
        <v>549</v>
      </c>
      <c r="B420" t="s">
        <v>414</v>
      </c>
      <c r="C420" t="s">
        <v>40</v>
      </c>
      <c r="D420" t="s">
        <v>52</v>
      </c>
      <c r="E420" s="1">
        <v>46031</v>
      </c>
      <c r="F420">
        <v>490</v>
      </c>
      <c r="G420" t="s">
        <v>35</v>
      </c>
      <c r="H420">
        <v>180</v>
      </c>
      <c r="I420">
        <v>177</v>
      </c>
      <c r="J420">
        <v>2451383.4900000002</v>
      </c>
      <c r="K420">
        <v>358546.49</v>
      </c>
      <c r="L420">
        <f t="shared" si="18"/>
        <v>2092837.0000000002</v>
      </c>
      <c r="M420" t="str">
        <f t="shared" si="19"/>
        <v>2026-01</v>
      </c>
      <c r="N420">
        <f t="shared" si="20"/>
        <v>0.98333333333333328</v>
      </c>
    </row>
    <row r="421" spans="1:14">
      <c r="A421" t="s">
        <v>550</v>
      </c>
      <c r="B421" t="s">
        <v>149</v>
      </c>
      <c r="C421" t="s">
        <v>49</v>
      </c>
      <c r="D421" t="s">
        <v>69</v>
      </c>
      <c r="E421" s="1">
        <v>46121</v>
      </c>
      <c r="F421">
        <v>345</v>
      </c>
      <c r="G421" t="s">
        <v>41</v>
      </c>
      <c r="H421">
        <v>180</v>
      </c>
      <c r="I421">
        <v>175</v>
      </c>
      <c r="J421">
        <v>1560209.64</v>
      </c>
      <c r="K421">
        <v>342232.66</v>
      </c>
      <c r="L421">
        <f t="shared" si="18"/>
        <v>1217976.98</v>
      </c>
      <c r="M421" t="str">
        <f t="shared" si="19"/>
        <v>2026-04</v>
      </c>
      <c r="N421">
        <f t="shared" si="20"/>
        <v>0.97222222222222221</v>
      </c>
    </row>
    <row r="422" spans="1:14">
      <c r="A422" t="s">
        <v>551</v>
      </c>
      <c r="B422" t="s">
        <v>230</v>
      </c>
      <c r="C422" t="s">
        <v>49</v>
      </c>
      <c r="D422" t="s">
        <v>34</v>
      </c>
      <c r="E422" s="1">
        <v>46229</v>
      </c>
      <c r="F422">
        <v>169</v>
      </c>
      <c r="G422" t="s">
        <v>35</v>
      </c>
      <c r="H422">
        <v>180</v>
      </c>
      <c r="I422">
        <v>105</v>
      </c>
      <c r="J422">
        <v>672345.98</v>
      </c>
      <c r="K422">
        <v>213099.18</v>
      </c>
      <c r="L422">
        <f t="shared" si="18"/>
        <v>459246.8</v>
      </c>
      <c r="M422" t="str">
        <f t="shared" si="19"/>
        <v>2026-07</v>
      </c>
      <c r="N422">
        <f t="shared" si="20"/>
        <v>0.58333333333333337</v>
      </c>
    </row>
    <row r="423" spans="1:14">
      <c r="A423" t="s">
        <v>552</v>
      </c>
      <c r="B423" t="s">
        <v>39</v>
      </c>
      <c r="C423" t="s">
        <v>29</v>
      </c>
      <c r="D423" t="s">
        <v>40</v>
      </c>
      <c r="E423" s="1">
        <v>46201</v>
      </c>
      <c r="F423">
        <v>278</v>
      </c>
      <c r="G423" t="s">
        <v>41</v>
      </c>
      <c r="H423">
        <v>150</v>
      </c>
      <c r="I423">
        <v>65</v>
      </c>
      <c r="J423">
        <v>326671.8</v>
      </c>
      <c r="K423">
        <v>380177.28</v>
      </c>
      <c r="L423">
        <f t="shared" si="18"/>
        <v>-53505.48000000004</v>
      </c>
      <c r="M423" t="str">
        <f t="shared" si="19"/>
        <v>2026-06</v>
      </c>
      <c r="N423">
        <f t="shared" si="20"/>
        <v>0.43333333333333335</v>
      </c>
    </row>
    <row r="424" spans="1:14">
      <c r="A424" t="s">
        <v>553</v>
      </c>
      <c r="B424" t="s">
        <v>277</v>
      </c>
      <c r="C424" t="s">
        <v>45</v>
      </c>
      <c r="D424" t="s">
        <v>69</v>
      </c>
      <c r="E424" s="1">
        <v>46203</v>
      </c>
      <c r="F424">
        <v>386</v>
      </c>
      <c r="G424" t="s">
        <v>35</v>
      </c>
      <c r="H424">
        <v>250</v>
      </c>
      <c r="I424">
        <v>211</v>
      </c>
      <c r="J424">
        <v>1587700.55</v>
      </c>
      <c r="K424">
        <v>424275.25</v>
      </c>
      <c r="L424">
        <f t="shared" si="18"/>
        <v>1163425.3</v>
      </c>
      <c r="M424" t="str">
        <f t="shared" si="19"/>
        <v>2026-06</v>
      </c>
      <c r="N424">
        <f t="shared" si="20"/>
        <v>0.84399999999999997</v>
      </c>
    </row>
    <row r="425" spans="1:14">
      <c r="A425" t="s">
        <v>554</v>
      </c>
      <c r="B425" t="s">
        <v>73</v>
      </c>
      <c r="C425" t="s">
        <v>29</v>
      </c>
      <c r="D425" t="s">
        <v>52</v>
      </c>
      <c r="E425" s="1">
        <v>46172</v>
      </c>
      <c r="F425">
        <v>399</v>
      </c>
      <c r="G425" t="s">
        <v>41</v>
      </c>
      <c r="H425">
        <v>180</v>
      </c>
      <c r="I425">
        <v>107</v>
      </c>
      <c r="J425">
        <v>433281.31</v>
      </c>
      <c r="K425">
        <v>394897.54</v>
      </c>
      <c r="L425">
        <f t="shared" si="18"/>
        <v>38383.770000000019</v>
      </c>
      <c r="M425" t="str">
        <f t="shared" si="19"/>
        <v>2026-05</v>
      </c>
      <c r="N425">
        <f t="shared" si="20"/>
        <v>0.59444444444444444</v>
      </c>
    </row>
    <row r="426" spans="1:14">
      <c r="A426" t="s">
        <v>555</v>
      </c>
      <c r="B426" t="s">
        <v>246</v>
      </c>
      <c r="C426" t="s">
        <v>52</v>
      </c>
      <c r="D426" t="s">
        <v>69</v>
      </c>
      <c r="E426" s="1">
        <v>46058</v>
      </c>
      <c r="F426">
        <v>278</v>
      </c>
      <c r="G426" t="s">
        <v>41</v>
      </c>
      <c r="H426">
        <v>150</v>
      </c>
      <c r="I426">
        <v>110</v>
      </c>
      <c r="J426">
        <v>994868.96</v>
      </c>
      <c r="K426">
        <v>375352.71</v>
      </c>
      <c r="L426">
        <f t="shared" si="18"/>
        <v>619516.25</v>
      </c>
      <c r="M426" t="str">
        <f t="shared" si="19"/>
        <v>2026-02</v>
      </c>
      <c r="N426">
        <f t="shared" si="20"/>
        <v>0.73333333333333328</v>
      </c>
    </row>
    <row r="427" spans="1:14">
      <c r="A427" t="s">
        <v>556</v>
      </c>
      <c r="B427" t="s">
        <v>478</v>
      </c>
      <c r="C427" t="s">
        <v>40</v>
      </c>
      <c r="D427" t="s">
        <v>44</v>
      </c>
      <c r="E427" s="1">
        <v>46056</v>
      </c>
      <c r="F427">
        <v>228</v>
      </c>
      <c r="G427" t="s">
        <v>41</v>
      </c>
      <c r="H427">
        <v>250</v>
      </c>
      <c r="I427">
        <v>120</v>
      </c>
      <c r="J427">
        <v>1637955.27</v>
      </c>
      <c r="K427">
        <v>338819.18</v>
      </c>
      <c r="L427">
        <f t="shared" si="18"/>
        <v>1299136.0900000001</v>
      </c>
      <c r="M427" t="str">
        <f t="shared" si="19"/>
        <v>2026-02</v>
      </c>
      <c r="N427">
        <f t="shared" si="20"/>
        <v>0.48</v>
      </c>
    </row>
    <row r="428" spans="1:14">
      <c r="A428" t="s">
        <v>557</v>
      </c>
      <c r="B428" t="s">
        <v>165</v>
      </c>
      <c r="C428" t="s">
        <v>34</v>
      </c>
      <c r="D428" t="s">
        <v>29</v>
      </c>
      <c r="E428" s="1">
        <v>46032</v>
      </c>
      <c r="F428">
        <v>149</v>
      </c>
      <c r="G428" t="s">
        <v>46</v>
      </c>
      <c r="H428">
        <v>180</v>
      </c>
      <c r="I428">
        <v>175</v>
      </c>
      <c r="J428">
        <v>1032860.21</v>
      </c>
      <c r="K428">
        <v>208931.54</v>
      </c>
      <c r="L428">
        <f t="shared" si="18"/>
        <v>823928.66999999993</v>
      </c>
      <c r="M428" t="str">
        <f t="shared" si="19"/>
        <v>2026-01</v>
      </c>
      <c r="N428">
        <f t="shared" si="20"/>
        <v>0.97222222222222221</v>
      </c>
    </row>
    <row r="429" spans="1:14">
      <c r="A429" t="s">
        <v>558</v>
      </c>
      <c r="B429" t="s">
        <v>75</v>
      </c>
      <c r="C429" t="s">
        <v>55</v>
      </c>
      <c r="D429" t="s">
        <v>30</v>
      </c>
      <c r="E429" s="1">
        <v>46209</v>
      </c>
      <c r="F429">
        <v>557</v>
      </c>
      <c r="G429" t="s">
        <v>46</v>
      </c>
      <c r="H429">
        <v>180</v>
      </c>
      <c r="I429">
        <v>176</v>
      </c>
      <c r="J429">
        <v>760030.9</v>
      </c>
      <c r="K429">
        <v>713048.38</v>
      </c>
      <c r="L429">
        <f t="shared" si="18"/>
        <v>46982.520000000019</v>
      </c>
      <c r="M429" t="str">
        <f t="shared" si="19"/>
        <v>2026-07</v>
      </c>
      <c r="N429">
        <f t="shared" si="20"/>
        <v>0.97777777777777775</v>
      </c>
    </row>
    <row r="430" spans="1:14">
      <c r="A430" t="s">
        <v>559</v>
      </c>
      <c r="B430" t="s">
        <v>127</v>
      </c>
      <c r="C430" t="s">
        <v>40</v>
      </c>
      <c r="D430" t="s">
        <v>55</v>
      </c>
      <c r="E430" s="1">
        <v>46123</v>
      </c>
      <c r="F430">
        <v>235</v>
      </c>
      <c r="G430" t="s">
        <v>31</v>
      </c>
      <c r="H430">
        <v>150</v>
      </c>
      <c r="I430">
        <v>87</v>
      </c>
      <c r="J430">
        <v>472043.97</v>
      </c>
      <c r="K430">
        <v>282233.15999999997</v>
      </c>
      <c r="L430">
        <f t="shared" si="18"/>
        <v>189810.81</v>
      </c>
      <c r="M430" t="str">
        <f t="shared" si="19"/>
        <v>2026-04</v>
      </c>
      <c r="N430">
        <f t="shared" si="20"/>
        <v>0.57999999999999996</v>
      </c>
    </row>
    <row r="431" spans="1:14">
      <c r="A431" t="s">
        <v>560</v>
      </c>
      <c r="B431" t="s">
        <v>530</v>
      </c>
      <c r="C431" t="s">
        <v>34</v>
      </c>
      <c r="D431" t="s">
        <v>45</v>
      </c>
      <c r="E431" s="1">
        <v>46159</v>
      </c>
      <c r="F431">
        <v>396</v>
      </c>
      <c r="G431" t="s">
        <v>41</v>
      </c>
      <c r="H431">
        <v>150</v>
      </c>
      <c r="I431">
        <v>99</v>
      </c>
      <c r="J431">
        <v>1444408.8</v>
      </c>
      <c r="K431">
        <v>330046.2</v>
      </c>
      <c r="L431">
        <f t="shared" si="18"/>
        <v>1114362.6000000001</v>
      </c>
      <c r="M431" t="str">
        <f t="shared" si="19"/>
        <v>2026-05</v>
      </c>
      <c r="N431">
        <f t="shared" si="20"/>
        <v>0.66</v>
      </c>
    </row>
    <row r="432" spans="1:14">
      <c r="A432" t="s">
        <v>561</v>
      </c>
      <c r="B432" t="s">
        <v>104</v>
      </c>
      <c r="C432" t="s">
        <v>34</v>
      </c>
      <c r="D432" t="s">
        <v>52</v>
      </c>
      <c r="E432" s="1">
        <v>46064</v>
      </c>
      <c r="F432">
        <v>555</v>
      </c>
      <c r="G432" t="s">
        <v>35</v>
      </c>
      <c r="H432">
        <v>150</v>
      </c>
      <c r="I432">
        <v>94</v>
      </c>
      <c r="J432">
        <v>651801.49</v>
      </c>
      <c r="K432">
        <v>497053.96</v>
      </c>
      <c r="L432">
        <f t="shared" si="18"/>
        <v>154747.52999999997</v>
      </c>
      <c r="M432" t="str">
        <f t="shared" si="19"/>
        <v>2026-02</v>
      </c>
      <c r="N432">
        <f t="shared" si="20"/>
        <v>0.62666666666666671</v>
      </c>
    </row>
    <row r="433" spans="1:14">
      <c r="A433" t="s">
        <v>562</v>
      </c>
      <c r="B433" t="s">
        <v>127</v>
      </c>
      <c r="C433" t="s">
        <v>40</v>
      </c>
      <c r="D433" t="s">
        <v>55</v>
      </c>
      <c r="E433" s="1">
        <v>46101</v>
      </c>
      <c r="F433">
        <v>214</v>
      </c>
      <c r="G433" t="s">
        <v>31</v>
      </c>
      <c r="H433">
        <v>300</v>
      </c>
      <c r="I433">
        <v>278</v>
      </c>
      <c r="J433">
        <v>3745079.95</v>
      </c>
      <c r="K433">
        <v>270048.96999999997</v>
      </c>
      <c r="L433">
        <f t="shared" si="18"/>
        <v>3475030.9800000004</v>
      </c>
      <c r="M433" t="str">
        <f t="shared" si="19"/>
        <v>2026-03</v>
      </c>
      <c r="N433">
        <f t="shared" si="20"/>
        <v>0.92666666666666664</v>
      </c>
    </row>
    <row r="434" spans="1:14">
      <c r="A434" t="s">
        <v>563</v>
      </c>
      <c r="B434" t="s">
        <v>506</v>
      </c>
      <c r="C434" t="s">
        <v>55</v>
      </c>
      <c r="D434" t="s">
        <v>34</v>
      </c>
      <c r="E434" s="1">
        <v>46203</v>
      </c>
      <c r="F434">
        <v>190</v>
      </c>
      <c r="G434" t="s">
        <v>46</v>
      </c>
      <c r="H434">
        <v>150</v>
      </c>
      <c r="I434">
        <v>91</v>
      </c>
      <c r="J434">
        <v>877485.92</v>
      </c>
      <c r="K434">
        <v>209797.86</v>
      </c>
      <c r="L434">
        <f t="shared" si="18"/>
        <v>667688.06000000006</v>
      </c>
      <c r="M434" t="str">
        <f t="shared" si="19"/>
        <v>2026-06</v>
      </c>
      <c r="N434">
        <f t="shared" si="20"/>
        <v>0.60666666666666669</v>
      </c>
    </row>
    <row r="435" spans="1:14">
      <c r="A435" t="s">
        <v>564</v>
      </c>
      <c r="B435" t="s">
        <v>144</v>
      </c>
      <c r="C435" t="s">
        <v>49</v>
      </c>
      <c r="D435" t="s">
        <v>55</v>
      </c>
      <c r="E435" s="1">
        <v>46222</v>
      </c>
      <c r="F435">
        <v>367</v>
      </c>
      <c r="G435" t="s">
        <v>35</v>
      </c>
      <c r="H435">
        <v>150</v>
      </c>
      <c r="I435">
        <v>56</v>
      </c>
      <c r="J435">
        <v>395956.04</v>
      </c>
      <c r="K435">
        <v>398406.57</v>
      </c>
      <c r="L435">
        <f t="shared" si="18"/>
        <v>-2450.5300000000279</v>
      </c>
      <c r="M435" t="str">
        <f t="shared" si="19"/>
        <v>2026-07</v>
      </c>
      <c r="N435">
        <f t="shared" si="20"/>
        <v>0.37333333333333335</v>
      </c>
    </row>
    <row r="436" spans="1:14">
      <c r="A436" t="s">
        <v>565</v>
      </c>
      <c r="B436" t="s">
        <v>506</v>
      </c>
      <c r="C436" t="s">
        <v>55</v>
      </c>
      <c r="D436" t="s">
        <v>34</v>
      </c>
      <c r="E436" s="1">
        <v>46166</v>
      </c>
      <c r="F436">
        <v>501</v>
      </c>
      <c r="G436" t="s">
        <v>35</v>
      </c>
      <c r="H436">
        <v>150</v>
      </c>
      <c r="I436">
        <v>141</v>
      </c>
      <c r="J436">
        <v>1470693.7</v>
      </c>
      <c r="K436">
        <v>493939.20000000001</v>
      </c>
      <c r="L436">
        <f t="shared" si="18"/>
        <v>976754.5</v>
      </c>
      <c r="M436" t="str">
        <f t="shared" si="19"/>
        <v>2026-05</v>
      </c>
      <c r="N436">
        <f t="shared" si="20"/>
        <v>0.94</v>
      </c>
    </row>
    <row r="437" spans="1:14">
      <c r="A437" t="s">
        <v>566</v>
      </c>
      <c r="B437" t="s">
        <v>192</v>
      </c>
      <c r="C437" t="s">
        <v>49</v>
      </c>
      <c r="D437" t="s">
        <v>44</v>
      </c>
      <c r="E437" s="1">
        <v>46048</v>
      </c>
      <c r="F437">
        <v>180</v>
      </c>
      <c r="G437" t="s">
        <v>41</v>
      </c>
      <c r="H437">
        <v>300</v>
      </c>
      <c r="I437">
        <v>112</v>
      </c>
      <c r="J437">
        <v>478632.79</v>
      </c>
      <c r="K437">
        <v>306950.96000000002</v>
      </c>
      <c r="L437">
        <f t="shared" si="18"/>
        <v>171681.82999999996</v>
      </c>
      <c r="M437" t="str">
        <f t="shared" si="19"/>
        <v>2026-01</v>
      </c>
      <c r="N437">
        <f t="shared" si="20"/>
        <v>0.37333333333333335</v>
      </c>
    </row>
    <row r="438" spans="1:14">
      <c r="A438" t="s">
        <v>567</v>
      </c>
      <c r="B438" t="s">
        <v>506</v>
      </c>
      <c r="C438" t="s">
        <v>55</v>
      </c>
      <c r="D438" t="s">
        <v>34</v>
      </c>
      <c r="E438" s="1">
        <v>46291</v>
      </c>
      <c r="F438">
        <v>341</v>
      </c>
      <c r="G438" t="s">
        <v>41</v>
      </c>
      <c r="H438">
        <v>300</v>
      </c>
      <c r="I438">
        <v>97</v>
      </c>
      <c r="J438">
        <v>292098.14</v>
      </c>
      <c r="K438">
        <v>329872.57</v>
      </c>
      <c r="L438">
        <f t="shared" si="18"/>
        <v>-37774.429999999993</v>
      </c>
      <c r="M438" t="str">
        <f t="shared" si="19"/>
        <v>2026-09</v>
      </c>
      <c r="N438">
        <f t="shared" si="20"/>
        <v>0.32333333333333331</v>
      </c>
    </row>
    <row r="439" spans="1:14">
      <c r="A439" t="s">
        <v>568</v>
      </c>
      <c r="B439" t="s">
        <v>62</v>
      </c>
      <c r="C439" t="s">
        <v>52</v>
      </c>
      <c r="D439" t="s">
        <v>40</v>
      </c>
      <c r="E439" s="1">
        <v>46205</v>
      </c>
      <c r="F439">
        <v>327</v>
      </c>
      <c r="G439" t="s">
        <v>35</v>
      </c>
      <c r="H439">
        <v>180</v>
      </c>
      <c r="I439">
        <v>149</v>
      </c>
      <c r="J439">
        <v>1194904.51</v>
      </c>
      <c r="K439">
        <v>324324.59000000003</v>
      </c>
      <c r="L439">
        <f t="shared" si="18"/>
        <v>870579.91999999993</v>
      </c>
      <c r="M439" t="str">
        <f t="shared" si="19"/>
        <v>2026-07</v>
      </c>
      <c r="N439">
        <f t="shared" si="20"/>
        <v>0.82777777777777772</v>
      </c>
    </row>
    <row r="440" spans="1:14">
      <c r="A440" t="s">
        <v>569</v>
      </c>
      <c r="B440" t="s">
        <v>113</v>
      </c>
      <c r="C440" t="s">
        <v>44</v>
      </c>
      <c r="D440" t="s">
        <v>55</v>
      </c>
      <c r="E440" s="1">
        <v>46073</v>
      </c>
      <c r="F440">
        <v>130</v>
      </c>
      <c r="G440" t="s">
        <v>35</v>
      </c>
      <c r="H440">
        <v>300</v>
      </c>
      <c r="I440">
        <v>68</v>
      </c>
      <c r="J440">
        <v>481443.58</v>
      </c>
      <c r="K440">
        <v>294138.12</v>
      </c>
      <c r="L440">
        <f t="shared" si="18"/>
        <v>187305.46000000002</v>
      </c>
      <c r="M440" t="str">
        <f t="shared" si="19"/>
        <v>2026-02</v>
      </c>
      <c r="N440">
        <f t="shared" si="20"/>
        <v>0.22666666666666666</v>
      </c>
    </row>
    <row r="441" spans="1:14">
      <c r="A441" t="s">
        <v>570</v>
      </c>
      <c r="B441" t="s">
        <v>407</v>
      </c>
      <c r="C441" t="s">
        <v>49</v>
      </c>
      <c r="D441" t="s">
        <v>29</v>
      </c>
      <c r="E441" s="1">
        <v>46203</v>
      </c>
      <c r="F441">
        <v>352</v>
      </c>
      <c r="G441" t="s">
        <v>41</v>
      </c>
      <c r="H441">
        <v>250</v>
      </c>
      <c r="I441">
        <v>180</v>
      </c>
      <c r="J441">
        <v>964411.85</v>
      </c>
      <c r="K441">
        <v>353174.18</v>
      </c>
      <c r="L441">
        <f t="shared" si="18"/>
        <v>611237.66999999993</v>
      </c>
      <c r="M441" t="str">
        <f t="shared" si="19"/>
        <v>2026-06</v>
      </c>
      <c r="N441">
        <f t="shared" si="20"/>
        <v>0.72</v>
      </c>
    </row>
    <row r="442" spans="1:14">
      <c r="A442" t="s">
        <v>571</v>
      </c>
      <c r="B442" t="s">
        <v>73</v>
      </c>
      <c r="C442" t="s">
        <v>29</v>
      </c>
      <c r="D442" t="s">
        <v>52</v>
      </c>
      <c r="E442" s="1">
        <v>46141</v>
      </c>
      <c r="F442">
        <v>585</v>
      </c>
      <c r="G442" t="s">
        <v>31</v>
      </c>
      <c r="H442">
        <v>180</v>
      </c>
      <c r="I442">
        <v>59</v>
      </c>
      <c r="J442">
        <v>835556.96</v>
      </c>
      <c r="K442">
        <v>598547.28</v>
      </c>
      <c r="L442">
        <f t="shared" si="18"/>
        <v>237009.67999999993</v>
      </c>
      <c r="M442" t="str">
        <f t="shared" si="19"/>
        <v>2026-04</v>
      </c>
      <c r="N442">
        <f t="shared" si="20"/>
        <v>0.32777777777777778</v>
      </c>
    </row>
    <row r="443" spans="1:14">
      <c r="A443" t="s">
        <v>572</v>
      </c>
      <c r="B443" t="s">
        <v>144</v>
      </c>
      <c r="C443" t="s">
        <v>49</v>
      </c>
      <c r="D443" t="s">
        <v>55</v>
      </c>
      <c r="E443" s="1">
        <v>46279</v>
      </c>
      <c r="F443">
        <v>575</v>
      </c>
      <c r="G443" t="s">
        <v>46</v>
      </c>
      <c r="H443">
        <v>150</v>
      </c>
      <c r="I443">
        <v>147</v>
      </c>
      <c r="J443">
        <v>1110856.78</v>
      </c>
      <c r="K443">
        <v>610920.68000000005</v>
      </c>
      <c r="L443">
        <f t="shared" si="18"/>
        <v>499936.1</v>
      </c>
      <c r="M443" t="str">
        <f t="shared" si="19"/>
        <v>2026-09</v>
      </c>
      <c r="N443">
        <f t="shared" si="20"/>
        <v>0.98</v>
      </c>
    </row>
    <row r="444" spans="1:14">
      <c r="A444" t="s">
        <v>573</v>
      </c>
      <c r="B444" t="s">
        <v>307</v>
      </c>
      <c r="C444" t="s">
        <v>40</v>
      </c>
      <c r="D444" t="s">
        <v>45</v>
      </c>
      <c r="E444" s="1">
        <v>46284</v>
      </c>
      <c r="F444">
        <v>451</v>
      </c>
      <c r="G444" t="s">
        <v>41</v>
      </c>
      <c r="H444">
        <v>250</v>
      </c>
      <c r="I444">
        <v>60</v>
      </c>
      <c r="J444">
        <v>628833.29</v>
      </c>
      <c r="K444">
        <v>540699.52</v>
      </c>
      <c r="L444">
        <f t="shared" si="18"/>
        <v>88133.770000000019</v>
      </c>
      <c r="M444" t="str">
        <f t="shared" si="19"/>
        <v>2026-09</v>
      </c>
      <c r="N444">
        <f t="shared" si="20"/>
        <v>0.24</v>
      </c>
    </row>
    <row r="445" spans="1:14">
      <c r="A445" t="s">
        <v>574</v>
      </c>
      <c r="B445" t="s">
        <v>54</v>
      </c>
      <c r="C445" t="s">
        <v>52</v>
      </c>
      <c r="D445" t="s">
        <v>55</v>
      </c>
      <c r="E445" s="1">
        <v>46234</v>
      </c>
      <c r="F445">
        <v>171</v>
      </c>
      <c r="G445" t="s">
        <v>35</v>
      </c>
      <c r="H445">
        <v>300</v>
      </c>
      <c r="I445">
        <v>270</v>
      </c>
      <c r="J445">
        <v>2059193.55</v>
      </c>
      <c r="K445">
        <v>296150.28999999998</v>
      </c>
      <c r="L445">
        <f t="shared" si="18"/>
        <v>1763043.26</v>
      </c>
      <c r="M445" t="str">
        <f t="shared" si="19"/>
        <v>2026-07</v>
      </c>
      <c r="N445">
        <f t="shared" si="20"/>
        <v>0.9</v>
      </c>
    </row>
    <row r="446" spans="1:14">
      <c r="A446" t="s">
        <v>575</v>
      </c>
      <c r="B446" t="s">
        <v>299</v>
      </c>
      <c r="C446" t="s">
        <v>34</v>
      </c>
      <c r="D446" t="s">
        <v>44</v>
      </c>
      <c r="E446" s="1">
        <v>46042</v>
      </c>
      <c r="F446">
        <v>275</v>
      </c>
      <c r="G446" t="s">
        <v>31</v>
      </c>
      <c r="H446">
        <v>250</v>
      </c>
      <c r="I446">
        <v>186</v>
      </c>
      <c r="J446">
        <v>1289837.07</v>
      </c>
      <c r="K446">
        <v>404397.99</v>
      </c>
      <c r="L446">
        <f t="shared" si="18"/>
        <v>885439.08000000007</v>
      </c>
      <c r="M446" t="str">
        <f t="shared" si="19"/>
        <v>2026-01</v>
      </c>
      <c r="N446">
        <f t="shared" si="20"/>
        <v>0.74399999999999999</v>
      </c>
    </row>
    <row r="447" spans="1:14">
      <c r="A447" t="s">
        <v>576</v>
      </c>
      <c r="B447" t="s">
        <v>98</v>
      </c>
      <c r="C447" t="s">
        <v>40</v>
      </c>
      <c r="D447" t="s">
        <v>34</v>
      </c>
      <c r="E447" s="1">
        <v>46264</v>
      </c>
      <c r="F447">
        <v>353</v>
      </c>
      <c r="G447" t="s">
        <v>35</v>
      </c>
      <c r="H447">
        <v>250</v>
      </c>
      <c r="I447">
        <v>59</v>
      </c>
      <c r="J447">
        <v>653311.24</v>
      </c>
      <c r="K447">
        <v>384838.65</v>
      </c>
      <c r="L447">
        <f t="shared" si="18"/>
        <v>268472.58999999997</v>
      </c>
      <c r="M447" t="str">
        <f t="shared" si="19"/>
        <v>2026-08</v>
      </c>
      <c r="N447">
        <f t="shared" si="20"/>
        <v>0.23599999999999999</v>
      </c>
    </row>
    <row r="448" spans="1:14">
      <c r="A448" t="s">
        <v>577</v>
      </c>
      <c r="B448" t="s">
        <v>147</v>
      </c>
      <c r="C448" t="s">
        <v>29</v>
      </c>
      <c r="D448" t="s">
        <v>49</v>
      </c>
      <c r="E448" s="1">
        <v>46320</v>
      </c>
      <c r="F448">
        <v>342</v>
      </c>
      <c r="G448" t="s">
        <v>46</v>
      </c>
      <c r="H448">
        <v>180</v>
      </c>
      <c r="I448">
        <v>81</v>
      </c>
      <c r="J448">
        <v>1196708.48</v>
      </c>
      <c r="K448">
        <v>372621.04</v>
      </c>
      <c r="L448">
        <f t="shared" si="18"/>
        <v>824087.44</v>
      </c>
      <c r="M448" t="str">
        <f t="shared" si="19"/>
        <v>2026-10</v>
      </c>
      <c r="N448">
        <f t="shared" si="20"/>
        <v>0.45</v>
      </c>
    </row>
    <row r="449" spans="1:14">
      <c r="A449" t="s">
        <v>578</v>
      </c>
      <c r="B449" t="s">
        <v>175</v>
      </c>
      <c r="C449" t="s">
        <v>40</v>
      </c>
      <c r="D449" t="s">
        <v>29</v>
      </c>
      <c r="E449" s="1">
        <v>46311</v>
      </c>
      <c r="F449">
        <v>272</v>
      </c>
      <c r="G449" t="s">
        <v>46</v>
      </c>
      <c r="H449">
        <v>180</v>
      </c>
      <c r="I449">
        <v>133</v>
      </c>
      <c r="J449">
        <v>1115729.31</v>
      </c>
      <c r="K449">
        <v>335977.53</v>
      </c>
      <c r="L449">
        <f t="shared" si="18"/>
        <v>779751.78</v>
      </c>
      <c r="M449" t="str">
        <f t="shared" si="19"/>
        <v>2026-10</v>
      </c>
      <c r="N449">
        <f t="shared" si="20"/>
        <v>0.73888888888888893</v>
      </c>
    </row>
    <row r="450" spans="1:14">
      <c r="A450" t="s">
        <v>579</v>
      </c>
      <c r="B450" t="s">
        <v>530</v>
      </c>
      <c r="C450" t="s">
        <v>34</v>
      </c>
      <c r="D450" t="s">
        <v>45</v>
      </c>
      <c r="E450" s="1">
        <v>46199</v>
      </c>
      <c r="F450">
        <v>198</v>
      </c>
      <c r="G450" t="s">
        <v>46</v>
      </c>
      <c r="H450">
        <v>180</v>
      </c>
      <c r="I450">
        <v>62</v>
      </c>
      <c r="J450">
        <v>707444.08</v>
      </c>
      <c r="K450">
        <v>228529.52</v>
      </c>
      <c r="L450">
        <f t="shared" si="18"/>
        <v>478914.55999999994</v>
      </c>
      <c r="M450" t="str">
        <f t="shared" si="19"/>
        <v>2026-06</v>
      </c>
      <c r="N450">
        <f t="shared" si="20"/>
        <v>0.34444444444444444</v>
      </c>
    </row>
    <row r="451" spans="1:14">
      <c r="A451" t="s">
        <v>580</v>
      </c>
      <c r="B451" t="s">
        <v>71</v>
      </c>
      <c r="C451" t="s">
        <v>44</v>
      </c>
      <c r="D451" t="s">
        <v>40</v>
      </c>
      <c r="E451" s="1">
        <v>46230</v>
      </c>
      <c r="F451">
        <v>199</v>
      </c>
      <c r="G451" t="s">
        <v>35</v>
      </c>
      <c r="H451">
        <v>180</v>
      </c>
      <c r="I451">
        <v>102</v>
      </c>
      <c r="J451">
        <v>444678.72</v>
      </c>
      <c r="K451">
        <v>213447.42</v>
      </c>
      <c r="L451">
        <f t="shared" ref="L451:L514" si="21">J451-K451</f>
        <v>231231.29999999996</v>
      </c>
      <c r="M451" t="str">
        <f t="shared" ref="M451:M514" si="22">TEXT(E451,"YYYY-MM")</f>
        <v>2026-07</v>
      </c>
      <c r="N451">
        <f t="shared" ref="N451:N514" si="23">I451/H451</f>
        <v>0.56666666666666665</v>
      </c>
    </row>
    <row r="452" spans="1:14">
      <c r="A452" t="s">
        <v>581</v>
      </c>
      <c r="B452" t="s">
        <v>208</v>
      </c>
      <c r="C452" t="s">
        <v>44</v>
      </c>
      <c r="D452" t="s">
        <v>49</v>
      </c>
      <c r="E452" s="1">
        <v>46272</v>
      </c>
      <c r="F452">
        <v>314</v>
      </c>
      <c r="G452" t="s">
        <v>35</v>
      </c>
      <c r="H452">
        <v>180</v>
      </c>
      <c r="I452">
        <v>157</v>
      </c>
      <c r="J452">
        <v>2286582.9</v>
      </c>
      <c r="K452">
        <v>329861.56</v>
      </c>
      <c r="L452">
        <f t="shared" si="21"/>
        <v>1956721.3399999999</v>
      </c>
      <c r="M452" t="str">
        <f t="shared" si="22"/>
        <v>2026-09</v>
      </c>
      <c r="N452">
        <f t="shared" si="23"/>
        <v>0.87222222222222223</v>
      </c>
    </row>
    <row r="453" spans="1:14">
      <c r="A453" t="s">
        <v>582</v>
      </c>
      <c r="B453" t="s">
        <v>71</v>
      </c>
      <c r="C453" t="s">
        <v>44</v>
      </c>
      <c r="D453" t="s">
        <v>40</v>
      </c>
      <c r="E453" s="1">
        <v>46276</v>
      </c>
      <c r="F453">
        <v>247</v>
      </c>
      <c r="G453" t="s">
        <v>41</v>
      </c>
      <c r="H453">
        <v>300</v>
      </c>
      <c r="I453">
        <v>64</v>
      </c>
      <c r="J453">
        <v>867715.39</v>
      </c>
      <c r="K453">
        <v>385657.28</v>
      </c>
      <c r="L453">
        <f t="shared" si="21"/>
        <v>482058.11</v>
      </c>
      <c r="M453" t="str">
        <f t="shared" si="22"/>
        <v>2026-09</v>
      </c>
      <c r="N453">
        <f t="shared" si="23"/>
        <v>0.21333333333333335</v>
      </c>
    </row>
    <row r="454" spans="1:14">
      <c r="A454" t="s">
        <v>583</v>
      </c>
      <c r="B454" t="s">
        <v>77</v>
      </c>
      <c r="C454" t="s">
        <v>45</v>
      </c>
      <c r="D454" t="s">
        <v>29</v>
      </c>
      <c r="E454" s="1">
        <v>46149</v>
      </c>
      <c r="F454">
        <v>99</v>
      </c>
      <c r="G454" t="s">
        <v>35</v>
      </c>
      <c r="H454">
        <v>300</v>
      </c>
      <c r="I454">
        <v>148</v>
      </c>
      <c r="J454">
        <v>978516.18</v>
      </c>
      <c r="K454">
        <v>212254.3</v>
      </c>
      <c r="L454">
        <f t="shared" si="21"/>
        <v>766261.88000000012</v>
      </c>
      <c r="M454" t="str">
        <f t="shared" si="22"/>
        <v>2026-05</v>
      </c>
      <c r="N454">
        <f t="shared" si="23"/>
        <v>0.49333333333333335</v>
      </c>
    </row>
    <row r="455" spans="1:14">
      <c r="A455" t="s">
        <v>584</v>
      </c>
      <c r="B455" t="s">
        <v>260</v>
      </c>
      <c r="C455" t="s">
        <v>69</v>
      </c>
      <c r="D455" t="s">
        <v>29</v>
      </c>
      <c r="E455" s="1">
        <v>46173</v>
      </c>
      <c r="F455">
        <v>280</v>
      </c>
      <c r="G455" t="s">
        <v>41</v>
      </c>
      <c r="H455">
        <v>300</v>
      </c>
      <c r="I455">
        <v>286</v>
      </c>
      <c r="J455">
        <v>1365793</v>
      </c>
      <c r="K455">
        <v>482992.28</v>
      </c>
      <c r="L455">
        <f t="shared" si="21"/>
        <v>882800.72</v>
      </c>
      <c r="M455" t="str">
        <f t="shared" si="22"/>
        <v>2026-05</v>
      </c>
      <c r="N455">
        <f t="shared" si="23"/>
        <v>0.95333333333333337</v>
      </c>
    </row>
    <row r="456" spans="1:14">
      <c r="A456" t="s">
        <v>585</v>
      </c>
      <c r="B456" t="s">
        <v>116</v>
      </c>
      <c r="C456" t="s">
        <v>30</v>
      </c>
      <c r="D456" t="s">
        <v>44</v>
      </c>
      <c r="E456" s="1">
        <v>46322</v>
      </c>
      <c r="F456">
        <v>416</v>
      </c>
      <c r="G456" t="s">
        <v>35</v>
      </c>
      <c r="H456">
        <v>300</v>
      </c>
      <c r="I456">
        <v>146</v>
      </c>
      <c r="J456">
        <v>589909.91</v>
      </c>
      <c r="K456">
        <v>514771.34</v>
      </c>
      <c r="L456">
        <f t="shared" si="21"/>
        <v>75138.570000000007</v>
      </c>
      <c r="M456" t="str">
        <f t="shared" si="22"/>
        <v>2026-10</v>
      </c>
      <c r="N456">
        <f t="shared" si="23"/>
        <v>0.48666666666666669</v>
      </c>
    </row>
    <row r="457" spans="1:14">
      <c r="A457" t="s">
        <v>586</v>
      </c>
      <c r="B457" t="s">
        <v>71</v>
      </c>
      <c r="C457" t="s">
        <v>44</v>
      </c>
      <c r="D457" t="s">
        <v>40</v>
      </c>
      <c r="E457" s="1">
        <v>46125</v>
      </c>
      <c r="F457">
        <v>424</v>
      </c>
      <c r="G457" t="s">
        <v>35</v>
      </c>
      <c r="H457">
        <v>180</v>
      </c>
      <c r="I457">
        <v>127</v>
      </c>
      <c r="J457">
        <v>532225.9</v>
      </c>
      <c r="K457">
        <v>429221.62</v>
      </c>
      <c r="L457">
        <f t="shared" si="21"/>
        <v>103004.28000000003</v>
      </c>
      <c r="M457" t="str">
        <f t="shared" si="22"/>
        <v>2026-04</v>
      </c>
      <c r="N457">
        <f t="shared" si="23"/>
        <v>0.7055555555555556</v>
      </c>
    </row>
    <row r="458" spans="1:14">
      <c r="A458" t="s">
        <v>587</v>
      </c>
      <c r="B458" t="s">
        <v>48</v>
      </c>
      <c r="C458" t="s">
        <v>49</v>
      </c>
      <c r="D458" t="s">
        <v>40</v>
      </c>
      <c r="E458" s="1">
        <v>46165</v>
      </c>
      <c r="F458">
        <v>458</v>
      </c>
      <c r="G458" t="s">
        <v>41</v>
      </c>
      <c r="H458">
        <v>150</v>
      </c>
      <c r="I458">
        <v>132</v>
      </c>
      <c r="J458">
        <v>779735.34</v>
      </c>
      <c r="K458">
        <v>369238.25</v>
      </c>
      <c r="L458">
        <f t="shared" si="21"/>
        <v>410497.08999999997</v>
      </c>
      <c r="M458" t="str">
        <f t="shared" si="22"/>
        <v>2026-05</v>
      </c>
      <c r="N458">
        <f t="shared" si="23"/>
        <v>0.88</v>
      </c>
    </row>
    <row r="459" spans="1:14">
      <c r="A459" t="s">
        <v>588</v>
      </c>
      <c r="B459" t="s">
        <v>210</v>
      </c>
      <c r="C459" t="s">
        <v>55</v>
      </c>
      <c r="D459" t="s">
        <v>69</v>
      </c>
      <c r="E459" s="1">
        <v>46123</v>
      </c>
      <c r="F459">
        <v>580</v>
      </c>
      <c r="G459" t="s">
        <v>41</v>
      </c>
      <c r="H459">
        <v>150</v>
      </c>
      <c r="I459">
        <v>67</v>
      </c>
      <c r="J459">
        <v>796658.89</v>
      </c>
      <c r="K459">
        <v>585284.77</v>
      </c>
      <c r="L459">
        <f t="shared" si="21"/>
        <v>211374.12</v>
      </c>
      <c r="M459" t="str">
        <f t="shared" si="22"/>
        <v>2026-04</v>
      </c>
      <c r="N459">
        <f t="shared" si="23"/>
        <v>0.44666666666666666</v>
      </c>
    </row>
    <row r="460" spans="1:14">
      <c r="A460" t="s">
        <v>589</v>
      </c>
      <c r="B460" t="s">
        <v>98</v>
      </c>
      <c r="C460" t="s">
        <v>40</v>
      </c>
      <c r="D460" t="s">
        <v>34</v>
      </c>
      <c r="E460" s="1">
        <v>46229</v>
      </c>
      <c r="F460">
        <v>87</v>
      </c>
      <c r="G460" t="s">
        <v>46</v>
      </c>
      <c r="H460">
        <v>300</v>
      </c>
      <c r="I460">
        <v>125</v>
      </c>
      <c r="J460">
        <v>720579.96</v>
      </c>
      <c r="K460">
        <v>211114.95</v>
      </c>
      <c r="L460">
        <f t="shared" si="21"/>
        <v>509465.00999999995</v>
      </c>
      <c r="M460" t="str">
        <f t="shared" si="22"/>
        <v>2026-07</v>
      </c>
      <c r="N460">
        <f t="shared" si="23"/>
        <v>0.41666666666666669</v>
      </c>
    </row>
    <row r="461" spans="1:14">
      <c r="A461" t="s">
        <v>590</v>
      </c>
      <c r="B461" t="s">
        <v>282</v>
      </c>
      <c r="C461" t="s">
        <v>52</v>
      </c>
      <c r="D461" t="s">
        <v>29</v>
      </c>
      <c r="E461" s="1">
        <v>46192</v>
      </c>
      <c r="F461">
        <v>149</v>
      </c>
      <c r="G461" t="s">
        <v>41</v>
      </c>
      <c r="H461">
        <v>180</v>
      </c>
      <c r="I461">
        <v>87</v>
      </c>
      <c r="J461">
        <v>1091669.28</v>
      </c>
      <c r="K461">
        <v>172581.47</v>
      </c>
      <c r="L461">
        <f t="shared" si="21"/>
        <v>919087.81</v>
      </c>
      <c r="M461" t="str">
        <f t="shared" si="22"/>
        <v>2026-06</v>
      </c>
      <c r="N461">
        <f t="shared" si="23"/>
        <v>0.48333333333333334</v>
      </c>
    </row>
    <row r="462" spans="1:14">
      <c r="A462" t="s">
        <v>591</v>
      </c>
      <c r="B462" t="s">
        <v>357</v>
      </c>
      <c r="C462" t="s">
        <v>55</v>
      </c>
      <c r="D462" t="s">
        <v>52</v>
      </c>
      <c r="E462" s="1">
        <v>46261</v>
      </c>
      <c r="F462">
        <v>426</v>
      </c>
      <c r="G462" t="s">
        <v>35</v>
      </c>
      <c r="H462">
        <v>300</v>
      </c>
      <c r="I462">
        <v>100</v>
      </c>
      <c r="J462">
        <v>917387.52</v>
      </c>
      <c r="K462">
        <v>618508.30000000005</v>
      </c>
      <c r="L462">
        <f t="shared" si="21"/>
        <v>298879.21999999997</v>
      </c>
      <c r="M462" t="str">
        <f t="shared" si="22"/>
        <v>2026-08</v>
      </c>
      <c r="N462">
        <f t="shared" si="23"/>
        <v>0.33333333333333331</v>
      </c>
    </row>
    <row r="463" spans="1:14">
      <c r="A463" t="s">
        <v>592</v>
      </c>
      <c r="B463" t="s">
        <v>200</v>
      </c>
      <c r="C463" t="s">
        <v>69</v>
      </c>
      <c r="D463" t="s">
        <v>52</v>
      </c>
      <c r="E463" s="1">
        <v>46217</v>
      </c>
      <c r="F463">
        <v>273</v>
      </c>
      <c r="G463" t="s">
        <v>41</v>
      </c>
      <c r="H463">
        <v>180</v>
      </c>
      <c r="I463">
        <v>163</v>
      </c>
      <c r="J463">
        <v>2176949.02</v>
      </c>
      <c r="K463">
        <v>318335</v>
      </c>
      <c r="L463">
        <f t="shared" si="21"/>
        <v>1858614.02</v>
      </c>
      <c r="M463" t="str">
        <f t="shared" si="22"/>
        <v>2026-07</v>
      </c>
      <c r="N463">
        <f t="shared" si="23"/>
        <v>0.90555555555555556</v>
      </c>
    </row>
    <row r="464" spans="1:14">
      <c r="A464" t="s">
        <v>593</v>
      </c>
      <c r="B464" t="s">
        <v>246</v>
      </c>
      <c r="C464" t="s">
        <v>52</v>
      </c>
      <c r="D464" t="s">
        <v>69</v>
      </c>
      <c r="E464" s="1">
        <v>46106</v>
      </c>
      <c r="F464">
        <v>266</v>
      </c>
      <c r="G464" t="s">
        <v>31</v>
      </c>
      <c r="H464">
        <v>300</v>
      </c>
      <c r="I464">
        <v>65</v>
      </c>
      <c r="J464">
        <v>594839.89</v>
      </c>
      <c r="K464">
        <v>337161.27</v>
      </c>
      <c r="L464">
        <f t="shared" si="21"/>
        <v>257678.62</v>
      </c>
      <c r="M464" t="str">
        <f t="shared" si="22"/>
        <v>2026-03</v>
      </c>
      <c r="N464">
        <f t="shared" si="23"/>
        <v>0.21666666666666667</v>
      </c>
    </row>
    <row r="465" spans="1:14">
      <c r="A465" t="s">
        <v>594</v>
      </c>
      <c r="B465" t="s">
        <v>43</v>
      </c>
      <c r="C465" t="s">
        <v>44</v>
      </c>
      <c r="D465" t="s">
        <v>45</v>
      </c>
      <c r="E465" s="1">
        <v>46041</v>
      </c>
      <c r="F465">
        <v>424</v>
      </c>
      <c r="G465" t="s">
        <v>35</v>
      </c>
      <c r="H465">
        <v>250</v>
      </c>
      <c r="I465">
        <v>221</v>
      </c>
      <c r="J465">
        <v>862699.4</v>
      </c>
      <c r="K465">
        <v>448553.01</v>
      </c>
      <c r="L465">
        <f t="shared" si="21"/>
        <v>414146.39</v>
      </c>
      <c r="M465" t="str">
        <f t="shared" si="22"/>
        <v>2026-01</v>
      </c>
      <c r="N465">
        <f t="shared" si="23"/>
        <v>0.88400000000000001</v>
      </c>
    </row>
    <row r="466" spans="1:14">
      <c r="A466" t="s">
        <v>595</v>
      </c>
      <c r="B466" t="s">
        <v>57</v>
      </c>
      <c r="C466" t="s">
        <v>52</v>
      </c>
      <c r="D466" t="s">
        <v>49</v>
      </c>
      <c r="E466" s="1">
        <v>46032</v>
      </c>
      <c r="F466">
        <v>417</v>
      </c>
      <c r="G466" t="s">
        <v>31</v>
      </c>
      <c r="H466">
        <v>300</v>
      </c>
      <c r="I466">
        <v>177</v>
      </c>
      <c r="J466">
        <v>637572.43999999994</v>
      </c>
      <c r="K466">
        <v>386725.14</v>
      </c>
      <c r="L466">
        <f t="shared" si="21"/>
        <v>250847.29999999993</v>
      </c>
      <c r="M466" t="str">
        <f t="shared" si="22"/>
        <v>2026-01</v>
      </c>
      <c r="N466">
        <f t="shared" si="23"/>
        <v>0.59</v>
      </c>
    </row>
    <row r="467" spans="1:14">
      <c r="A467" t="s">
        <v>596</v>
      </c>
      <c r="B467" t="s">
        <v>302</v>
      </c>
      <c r="C467" t="s">
        <v>30</v>
      </c>
      <c r="D467" t="s">
        <v>34</v>
      </c>
      <c r="E467" s="1">
        <v>46091</v>
      </c>
      <c r="F467">
        <v>117</v>
      </c>
      <c r="G467" t="s">
        <v>41</v>
      </c>
      <c r="H467">
        <v>180</v>
      </c>
      <c r="I467">
        <v>101</v>
      </c>
      <c r="J467">
        <v>1037346.94</v>
      </c>
      <c r="K467">
        <v>183582.01</v>
      </c>
      <c r="L467">
        <f t="shared" si="21"/>
        <v>853764.92999999993</v>
      </c>
      <c r="M467" t="str">
        <f t="shared" si="22"/>
        <v>2026-03</v>
      </c>
      <c r="N467">
        <f t="shared" si="23"/>
        <v>0.56111111111111112</v>
      </c>
    </row>
    <row r="468" spans="1:14">
      <c r="A468" t="s">
        <v>597</v>
      </c>
      <c r="B468" t="s">
        <v>163</v>
      </c>
      <c r="C468" t="s">
        <v>29</v>
      </c>
      <c r="D468" t="s">
        <v>69</v>
      </c>
      <c r="E468" s="1">
        <v>46314</v>
      </c>
      <c r="F468">
        <v>437</v>
      </c>
      <c r="G468" t="s">
        <v>35</v>
      </c>
      <c r="H468">
        <v>180</v>
      </c>
      <c r="I468">
        <v>144</v>
      </c>
      <c r="J468">
        <v>1965469.6</v>
      </c>
      <c r="K468">
        <v>581954.26</v>
      </c>
      <c r="L468">
        <f t="shared" si="21"/>
        <v>1383515.34</v>
      </c>
      <c r="M468" t="str">
        <f t="shared" si="22"/>
        <v>2026-10</v>
      </c>
      <c r="N468">
        <f t="shared" si="23"/>
        <v>0.8</v>
      </c>
    </row>
    <row r="469" spans="1:14">
      <c r="A469" t="s">
        <v>598</v>
      </c>
      <c r="B469" t="s">
        <v>60</v>
      </c>
      <c r="C469" t="s">
        <v>44</v>
      </c>
      <c r="D469" t="s">
        <v>34</v>
      </c>
      <c r="E469" s="1">
        <v>46047</v>
      </c>
      <c r="F469">
        <v>215</v>
      </c>
      <c r="G469" t="s">
        <v>41</v>
      </c>
      <c r="H469">
        <v>300</v>
      </c>
      <c r="I469">
        <v>70</v>
      </c>
      <c r="J469">
        <v>697056.84</v>
      </c>
      <c r="K469">
        <v>300023.82</v>
      </c>
      <c r="L469">
        <f t="shared" si="21"/>
        <v>397033.01999999996</v>
      </c>
      <c r="M469" t="str">
        <f t="shared" si="22"/>
        <v>2026-01</v>
      </c>
      <c r="N469">
        <f t="shared" si="23"/>
        <v>0.23333333333333334</v>
      </c>
    </row>
    <row r="470" spans="1:14">
      <c r="A470" t="s">
        <v>599</v>
      </c>
      <c r="B470" t="s">
        <v>86</v>
      </c>
      <c r="C470" t="s">
        <v>45</v>
      </c>
      <c r="D470" t="s">
        <v>49</v>
      </c>
      <c r="E470" s="1">
        <v>46062</v>
      </c>
      <c r="F470">
        <v>382</v>
      </c>
      <c r="G470" t="s">
        <v>41</v>
      </c>
      <c r="H470">
        <v>250</v>
      </c>
      <c r="I470">
        <v>104</v>
      </c>
      <c r="J470">
        <v>404769.59</v>
      </c>
      <c r="K470">
        <v>346848.01</v>
      </c>
      <c r="L470">
        <f t="shared" si="21"/>
        <v>57921.580000000016</v>
      </c>
      <c r="M470" t="str">
        <f t="shared" si="22"/>
        <v>2026-02</v>
      </c>
      <c r="N470">
        <f t="shared" si="23"/>
        <v>0.41599999999999998</v>
      </c>
    </row>
    <row r="471" spans="1:14">
      <c r="A471" t="s">
        <v>600</v>
      </c>
      <c r="B471" t="s">
        <v>260</v>
      </c>
      <c r="C471" t="s">
        <v>69</v>
      </c>
      <c r="D471" t="s">
        <v>29</v>
      </c>
      <c r="E471" s="1">
        <v>46109</v>
      </c>
      <c r="F471">
        <v>260</v>
      </c>
      <c r="G471" t="s">
        <v>41</v>
      </c>
      <c r="H471">
        <v>150</v>
      </c>
      <c r="I471">
        <v>115</v>
      </c>
      <c r="J471">
        <v>1638942.9</v>
      </c>
      <c r="K471">
        <v>328706.27</v>
      </c>
      <c r="L471">
        <f t="shared" si="21"/>
        <v>1310236.6299999999</v>
      </c>
      <c r="M471" t="str">
        <f t="shared" si="22"/>
        <v>2026-03</v>
      </c>
      <c r="N471">
        <f t="shared" si="23"/>
        <v>0.76666666666666672</v>
      </c>
    </row>
    <row r="472" spans="1:14">
      <c r="A472" t="s">
        <v>601</v>
      </c>
      <c r="B472" t="s">
        <v>77</v>
      </c>
      <c r="C472" t="s">
        <v>45</v>
      </c>
      <c r="D472" t="s">
        <v>29</v>
      </c>
      <c r="E472" s="1">
        <v>46041</v>
      </c>
      <c r="F472">
        <v>588</v>
      </c>
      <c r="G472" t="s">
        <v>41</v>
      </c>
      <c r="H472">
        <v>250</v>
      </c>
      <c r="I472">
        <v>166</v>
      </c>
      <c r="J472">
        <v>2402039.5499999998</v>
      </c>
      <c r="K472">
        <v>516432.02</v>
      </c>
      <c r="L472">
        <f t="shared" si="21"/>
        <v>1885607.5299999998</v>
      </c>
      <c r="M472" t="str">
        <f t="shared" si="22"/>
        <v>2026-01</v>
      </c>
      <c r="N472">
        <f t="shared" si="23"/>
        <v>0.66400000000000003</v>
      </c>
    </row>
    <row r="473" spans="1:14">
      <c r="A473" t="s">
        <v>602</v>
      </c>
      <c r="B473" t="s">
        <v>120</v>
      </c>
      <c r="C473" t="s">
        <v>52</v>
      </c>
      <c r="D473" t="s">
        <v>34</v>
      </c>
      <c r="E473" s="1">
        <v>46218</v>
      </c>
      <c r="F473">
        <v>344</v>
      </c>
      <c r="G473" t="s">
        <v>41</v>
      </c>
      <c r="H473">
        <v>300</v>
      </c>
      <c r="I473">
        <v>100</v>
      </c>
      <c r="J473">
        <v>424507.61</v>
      </c>
      <c r="K473">
        <v>393137.63</v>
      </c>
      <c r="L473">
        <f t="shared" si="21"/>
        <v>31369.979999999981</v>
      </c>
      <c r="M473" t="str">
        <f t="shared" si="22"/>
        <v>2026-07</v>
      </c>
      <c r="N473">
        <f t="shared" si="23"/>
        <v>0.33333333333333331</v>
      </c>
    </row>
    <row r="474" spans="1:14">
      <c r="A474" t="s">
        <v>603</v>
      </c>
      <c r="B474" t="s">
        <v>102</v>
      </c>
      <c r="C474" t="s">
        <v>45</v>
      </c>
      <c r="D474" t="s">
        <v>55</v>
      </c>
      <c r="E474" s="1">
        <v>46301</v>
      </c>
      <c r="F474">
        <v>268</v>
      </c>
      <c r="G474" t="s">
        <v>41</v>
      </c>
      <c r="H474">
        <v>250</v>
      </c>
      <c r="I474">
        <v>81</v>
      </c>
      <c r="J474">
        <v>662716.5</v>
      </c>
      <c r="K474">
        <v>405661.9</v>
      </c>
      <c r="L474">
        <f t="shared" si="21"/>
        <v>257054.59999999998</v>
      </c>
      <c r="M474" t="str">
        <f t="shared" si="22"/>
        <v>2026-10</v>
      </c>
      <c r="N474">
        <f t="shared" si="23"/>
        <v>0.32400000000000001</v>
      </c>
    </row>
    <row r="475" spans="1:14">
      <c r="A475" t="s">
        <v>604</v>
      </c>
      <c r="B475" t="s">
        <v>167</v>
      </c>
      <c r="C475" t="s">
        <v>30</v>
      </c>
      <c r="D475" t="s">
        <v>69</v>
      </c>
      <c r="E475" s="1">
        <v>46131</v>
      </c>
      <c r="F475">
        <v>581</v>
      </c>
      <c r="G475" t="s">
        <v>31</v>
      </c>
      <c r="H475">
        <v>250</v>
      </c>
      <c r="I475">
        <v>108</v>
      </c>
      <c r="J475">
        <v>564289.87</v>
      </c>
      <c r="K475">
        <v>489545.07</v>
      </c>
      <c r="L475">
        <f t="shared" si="21"/>
        <v>74744.799999999988</v>
      </c>
      <c r="M475" t="str">
        <f t="shared" si="22"/>
        <v>2026-04</v>
      </c>
      <c r="N475">
        <f t="shared" si="23"/>
        <v>0.432</v>
      </c>
    </row>
    <row r="476" spans="1:14">
      <c r="A476" t="s">
        <v>605</v>
      </c>
      <c r="B476" t="s">
        <v>88</v>
      </c>
      <c r="C476" t="s">
        <v>55</v>
      </c>
      <c r="D476" t="s">
        <v>44</v>
      </c>
      <c r="E476" s="1">
        <v>46104</v>
      </c>
      <c r="F476">
        <v>487</v>
      </c>
      <c r="G476" t="s">
        <v>35</v>
      </c>
      <c r="H476">
        <v>180</v>
      </c>
      <c r="I476">
        <v>120</v>
      </c>
      <c r="J476">
        <v>919826.51</v>
      </c>
      <c r="K476">
        <v>378298.48</v>
      </c>
      <c r="L476">
        <f t="shared" si="21"/>
        <v>541528.03</v>
      </c>
      <c r="M476" t="str">
        <f t="shared" si="22"/>
        <v>2026-03</v>
      </c>
      <c r="N476">
        <f t="shared" si="23"/>
        <v>0.66666666666666663</v>
      </c>
    </row>
    <row r="477" spans="1:14">
      <c r="A477" t="s">
        <v>606</v>
      </c>
      <c r="B477" t="s">
        <v>124</v>
      </c>
      <c r="C477" t="s">
        <v>55</v>
      </c>
      <c r="D477" t="s">
        <v>49</v>
      </c>
      <c r="E477" s="1">
        <v>46242</v>
      </c>
      <c r="F477">
        <v>217</v>
      </c>
      <c r="G477" t="s">
        <v>35</v>
      </c>
      <c r="H477">
        <v>250</v>
      </c>
      <c r="I477">
        <v>241</v>
      </c>
      <c r="J477">
        <v>2005425.89</v>
      </c>
      <c r="K477">
        <v>282259.45</v>
      </c>
      <c r="L477">
        <f t="shared" si="21"/>
        <v>1723166.44</v>
      </c>
      <c r="M477" t="str">
        <f t="shared" si="22"/>
        <v>2026-08</v>
      </c>
      <c r="N477">
        <f t="shared" si="23"/>
        <v>0.96399999999999997</v>
      </c>
    </row>
    <row r="478" spans="1:14">
      <c r="A478" t="s">
        <v>607</v>
      </c>
      <c r="B478" t="s">
        <v>167</v>
      </c>
      <c r="C478" t="s">
        <v>30</v>
      </c>
      <c r="D478" t="s">
        <v>69</v>
      </c>
      <c r="E478" s="1">
        <v>46157</v>
      </c>
      <c r="F478">
        <v>410</v>
      </c>
      <c r="G478" t="s">
        <v>35</v>
      </c>
      <c r="H478">
        <v>180</v>
      </c>
      <c r="I478">
        <v>157</v>
      </c>
      <c r="J478">
        <v>833213.92</v>
      </c>
      <c r="K478">
        <v>383817.76</v>
      </c>
      <c r="L478">
        <f t="shared" si="21"/>
        <v>449396.16000000003</v>
      </c>
      <c r="M478" t="str">
        <f t="shared" si="22"/>
        <v>2026-05</v>
      </c>
      <c r="N478">
        <f t="shared" si="23"/>
        <v>0.87222222222222223</v>
      </c>
    </row>
    <row r="479" spans="1:14">
      <c r="A479" t="s">
        <v>608</v>
      </c>
      <c r="B479" t="s">
        <v>64</v>
      </c>
      <c r="C479" t="s">
        <v>34</v>
      </c>
      <c r="D479" t="s">
        <v>55</v>
      </c>
      <c r="E479" s="1">
        <v>46319</v>
      </c>
      <c r="F479">
        <v>538</v>
      </c>
      <c r="G479" t="s">
        <v>31</v>
      </c>
      <c r="H479">
        <v>300</v>
      </c>
      <c r="I479">
        <v>300</v>
      </c>
      <c r="J479">
        <v>1218882.02</v>
      </c>
      <c r="K479">
        <v>673910.1</v>
      </c>
      <c r="L479">
        <f t="shared" si="21"/>
        <v>544971.92000000004</v>
      </c>
      <c r="M479" t="str">
        <f t="shared" si="22"/>
        <v>2026-10</v>
      </c>
      <c r="N479">
        <f t="shared" si="23"/>
        <v>1</v>
      </c>
    </row>
    <row r="480" spans="1:14">
      <c r="A480" t="s">
        <v>609</v>
      </c>
      <c r="B480" t="s">
        <v>43</v>
      </c>
      <c r="C480" t="s">
        <v>44</v>
      </c>
      <c r="D480" t="s">
        <v>45</v>
      </c>
      <c r="E480" s="1">
        <v>46293</v>
      </c>
      <c r="F480">
        <v>137</v>
      </c>
      <c r="G480" t="s">
        <v>46</v>
      </c>
      <c r="H480">
        <v>180</v>
      </c>
      <c r="I480">
        <v>150</v>
      </c>
      <c r="J480">
        <v>1278592.29</v>
      </c>
      <c r="K480">
        <v>179366.68</v>
      </c>
      <c r="L480">
        <f t="shared" si="21"/>
        <v>1099225.6100000001</v>
      </c>
      <c r="M480" t="str">
        <f t="shared" si="22"/>
        <v>2026-09</v>
      </c>
      <c r="N480">
        <f t="shared" si="23"/>
        <v>0.83333333333333337</v>
      </c>
    </row>
    <row r="481" spans="1:14">
      <c r="A481" t="s">
        <v>610</v>
      </c>
      <c r="B481" t="s">
        <v>39</v>
      </c>
      <c r="C481" t="s">
        <v>29</v>
      </c>
      <c r="D481" t="s">
        <v>40</v>
      </c>
      <c r="E481" s="1">
        <v>46167</v>
      </c>
      <c r="F481">
        <v>578</v>
      </c>
      <c r="G481" t="s">
        <v>41</v>
      </c>
      <c r="H481">
        <v>300</v>
      </c>
      <c r="I481">
        <v>115</v>
      </c>
      <c r="J481">
        <v>518388.02</v>
      </c>
      <c r="K481">
        <v>556223.93999999994</v>
      </c>
      <c r="L481">
        <f t="shared" si="21"/>
        <v>-37835.919999999925</v>
      </c>
      <c r="M481" t="str">
        <f t="shared" si="22"/>
        <v>2026-05</v>
      </c>
      <c r="N481">
        <f t="shared" si="23"/>
        <v>0.38333333333333336</v>
      </c>
    </row>
    <row r="482" spans="1:14">
      <c r="A482" t="s">
        <v>611</v>
      </c>
      <c r="B482" t="s">
        <v>175</v>
      </c>
      <c r="C482" t="s">
        <v>40</v>
      </c>
      <c r="D482" t="s">
        <v>29</v>
      </c>
      <c r="E482" s="1">
        <v>46233</v>
      </c>
      <c r="F482">
        <v>336</v>
      </c>
      <c r="G482" t="s">
        <v>35</v>
      </c>
      <c r="H482">
        <v>180</v>
      </c>
      <c r="I482">
        <v>53</v>
      </c>
      <c r="J482">
        <v>713328.62</v>
      </c>
      <c r="K482">
        <v>356394.93</v>
      </c>
      <c r="L482">
        <f t="shared" si="21"/>
        <v>356933.69</v>
      </c>
      <c r="M482" t="str">
        <f t="shared" si="22"/>
        <v>2026-07</v>
      </c>
      <c r="N482">
        <f t="shared" si="23"/>
        <v>0.29444444444444445</v>
      </c>
    </row>
    <row r="483" spans="1:14">
      <c r="A483" t="s">
        <v>612</v>
      </c>
      <c r="B483" t="s">
        <v>129</v>
      </c>
      <c r="C483" t="s">
        <v>45</v>
      </c>
      <c r="D483" t="s">
        <v>30</v>
      </c>
      <c r="E483" s="1">
        <v>46163</v>
      </c>
      <c r="F483">
        <v>321</v>
      </c>
      <c r="G483" t="s">
        <v>41</v>
      </c>
      <c r="H483">
        <v>300</v>
      </c>
      <c r="I483">
        <v>281</v>
      </c>
      <c r="J483">
        <v>1626666.44</v>
      </c>
      <c r="K483">
        <v>453326.51</v>
      </c>
      <c r="L483">
        <f t="shared" si="21"/>
        <v>1173339.93</v>
      </c>
      <c r="M483" t="str">
        <f t="shared" si="22"/>
        <v>2026-05</v>
      </c>
      <c r="N483">
        <f t="shared" si="23"/>
        <v>0.93666666666666665</v>
      </c>
    </row>
    <row r="484" spans="1:14">
      <c r="A484" t="s">
        <v>613</v>
      </c>
      <c r="B484" t="s">
        <v>205</v>
      </c>
      <c r="C484" t="s">
        <v>52</v>
      </c>
      <c r="D484" t="s">
        <v>44</v>
      </c>
      <c r="E484" s="1">
        <v>46044</v>
      </c>
      <c r="F484">
        <v>426</v>
      </c>
      <c r="G484" t="s">
        <v>31</v>
      </c>
      <c r="H484">
        <v>250</v>
      </c>
      <c r="I484">
        <v>116</v>
      </c>
      <c r="J484">
        <v>757132.13</v>
      </c>
      <c r="K484">
        <v>471094.52</v>
      </c>
      <c r="L484">
        <f t="shared" si="21"/>
        <v>286037.61</v>
      </c>
      <c r="M484" t="str">
        <f t="shared" si="22"/>
        <v>2026-01</v>
      </c>
      <c r="N484">
        <f t="shared" si="23"/>
        <v>0.46400000000000002</v>
      </c>
    </row>
    <row r="485" spans="1:14">
      <c r="A485" t="s">
        <v>614</v>
      </c>
      <c r="B485" t="s">
        <v>302</v>
      </c>
      <c r="C485" t="s">
        <v>30</v>
      </c>
      <c r="D485" t="s">
        <v>34</v>
      </c>
      <c r="E485" s="1">
        <v>46290</v>
      </c>
      <c r="F485">
        <v>584</v>
      </c>
      <c r="G485" t="s">
        <v>35</v>
      </c>
      <c r="H485">
        <v>180</v>
      </c>
      <c r="I485">
        <v>146</v>
      </c>
      <c r="J485">
        <v>1133174.8999999999</v>
      </c>
      <c r="K485">
        <v>558278.85</v>
      </c>
      <c r="L485">
        <f t="shared" si="21"/>
        <v>574896.04999999993</v>
      </c>
      <c r="M485" t="str">
        <f t="shared" si="22"/>
        <v>2026-09</v>
      </c>
      <c r="N485">
        <f t="shared" si="23"/>
        <v>0.81111111111111112</v>
      </c>
    </row>
    <row r="486" spans="1:14">
      <c r="A486" t="s">
        <v>615</v>
      </c>
      <c r="B486" t="s">
        <v>192</v>
      </c>
      <c r="C486" t="s">
        <v>49</v>
      </c>
      <c r="D486" t="s">
        <v>44</v>
      </c>
      <c r="E486" s="1">
        <v>46206</v>
      </c>
      <c r="F486">
        <v>175</v>
      </c>
      <c r="G486" t="s">
        <v>46</v>
      </c>
      <c r="H486">
        <v>250</v>
      </c>
      <c r="I486">
        <v>249</v>
      </c>
      <c r="J486">
        <v>827918.43</v>
      </c>
      <c r="K486">
        <v>267535.34999999998</v>
      </c>
      <c r="L486">
        <f t="shared" si="21"/>
        <v>560383.08000000007</v>
      </c>
      <c r="M486" t="str">
        <f t="shared" si="22"/>
        <v>2026-07</v>
      </c>
      <c r="N486">
        <f t="shared" si="23"/>
        <v>0.996</v>
      </c>
    </row>
    <row r="487" spans="1:14">
      <c r="A487" t="s">
        <v>616</v>
      </c>
      <c r="B487" t="s">
        <v>506</v>
      </c>
      <c r="C487" t="s">
        <v>55</v>
      </c>
      <c r="D487" t="s">
        <v>34</v>
      </c>
      <c r="E487" s="1">
        <v>46221</v>
      </c>
      <c r="F487">
        <v>454</v>
      </c>
      <c r="G487" t="s">
        <v>46</v>
      </c>
      <c r="H487">
        <v>150</v>
      </c>
      <c r="I487">
        <v>72</v>
      </c>
      <c r="J487">
        <v>307768.75</v>
      </c>
      <c r="K487">
        <v>548573.79</v>
      </c>
      <c r="L487">
        <f t="shared" si="21"/>
        <v>-240805.04000000004</v>
      </c>
      <c r="M487" t="str">
        <f t="shared" si="22"/>
        <v>2026-07</v>
      </c>
      <c r="N487">
        <f t="shared" si="23"/>
        <v>0.48</v>
      </c>
    </row>
    <row r="488" spans="1:14">
      <c r="A488" t="s">
        <v>617</v>
      </c>
      <c r="B488" t="s">
        <v>137</v>
      </c>
      <c r="C488" t="s">
        <v>69</v>
      </c>
      <c r="D488" t="s">
        <v>34</v>
      </c>
      <c r="E488" s="1">
        <v>46074</v>
      </c>
      <c r="F488">
        <v>348</v>
      </c>
      <c r="G488" t="s">
        <v>46</v>
      </c>
      <c r="H488">
        <v>180</v>
      </c>
      <c r="I488">
        <v>67</v>
      </c>
      <c r="J488">
        <v>714726.27</v>
      </c>
      <c r="K488">
        <v>283840.53999999998</v>
      </c>
      <c r="L488">
        <f t="shared" si="21"/>
        <v>430885.73000000004</v>
      </c>
      <c r="M488" t="str">
        <f t="shared" si="22"/>
        <v>2026-02</v>
      </c>
      <c r="N488">
        <f t="shared" si="23"/>
        <v>0.37222222222222223</v>
      </c>
    </row>
    <row r="489" spans="1:14">
      <c r="A489" t="s">
        <v>618</v>
      </c>
      <c r="B489" t="s">
        <v>127</v>
      </c>
      <c r="C489" t="s">
        <v>40</v>
      </c>
      <c r="D489" t="s">
        <v>55</v>
      </c>
      <c r="E489" s="1">
        <v>46191</v>
      </c>
      <c r="F489">
        <v>523</v>
      </c>
      <c r="G489" t="s">
        <v>31</v>
      </c>
      <c r="H489">
        <v>150</v>
      </c>
      <c r="I489">
        <v>141</v>
      </c>
      <c r="J489">
        <v>1891655.31</v>
      </c>
      <c r="K489">
        <v>639698.85</v>
      </c>
      <c r="L489">
        <f t="shared" si="21"/>
        <v>1251956.46</v>
      </c>
      <c r="M489" t="str">
        <f t="shared" si="22"/>
        <v>2026-06</v>
      </c>
      <c r="N489">
        <f t="shared" si="23"/>
        <v>0.94</v>
      </c>
    </row>
    <row r="490" spans="1:14">
      <c r="A490" t="s">
        <v>619</v>
      </c>
      <c r="B490" t="s">
        <v>430</v>
      </c>
      <c r="C490" t="s">
        <v>49</v>
      </c>
      <c r="D490" t="s">
        <v>52</v>
      </c>
      <c r="E490" s="1">
        <v>46248</v>
      </c>
      <c r="F490">
        <v>283</v>
      </c>
      <c r="G490" t="s">
        <v>46</v>
      </c>
      <c r="H490">
        <v>300</v>
      </c>
      <c r="I490">
        <v>144</v>
      </c>
      <c r="J490">
        <v>1420713.15</v>
      </c>
      <c r="K490">
        <v>476198.17</v>
      </c>
      <c r="L490">
        <f t="shared" si="21"/>
        <v>944514.98</v>
      </c>
      <c r="M490" t="str">
        <f t="shared" si="22"/>
        <v>2026-08</v>
      </c>
      <c r="N490">
        <f t="shared" si="23"/>
        <v>0.48</v>
      </c>
    </row>
    <row r="491" spans="1:14">
      <c r="A491" t="s">
        <v>620</v>
      </c>
      <c r="B491" t="s">
        <v>75</v>
      </c>
      <c r="C491" t="s">
        <v>55</v>
      </c>
      <c r="D491" t="s">
        <v>30</v>
      </c>
      <c r="E491" s="1">
        <v>46033</v>
      </c>
      <c r="F491">
        <v>156</v>
      </c>
      <c r="G491" t="s">
        <v>46</v>
      </c>
      <c r="H491">
        <v>180</v>
      </c>
      <c r="I491">
        <v>70</v>
      </c>
      <c r="J491">
        <v>552632.59</v>
      </c>
      <c r="K491">
        <v>205977.84</v>
      </c>
      <c r="L491">
        <f t="shared" si="21"/>
        <v>346654.75</v>
      </c>
      <c r="M491" t="str">
        <f t="shared" si="22"/>
        <v>2026-01</v>
      </c>
      <c r="N491">
        <f t="shared" si="23"/>
        <v>0.3888888888888889</v>
      </c>
    </row>
    <row r="492" spans="1:14">
      <c r="A492" t="s">
        <v>621</v>
      </c>
      <c r="B492" t="s">
        <v>282</v>
      </c>
      <c r="C492" t="s">
        <v>52</v>
      </c>
      <c r="D492" t="s">
        <v>29</v>
      </c>
      <c r="E492" s="1">
        <v>46313</v>
      </c>
      <c r="F492">
        <v>471</v>
      </c>
      <c r="G492" t="s">
        <v>31</v>
      </c>
      <c r="H492">
        <v>150</v>
      </c>
      <c r="I492">
        <v>74</v>
      </c>
      <c r="J492">
        <v>889593.59</v>
      </c>
      <c r="K492">
        <v>504484.17</v>
      </c>
      <c r="L492">
        <f t="shared" si="21"/>
        <v>385109.42</v>
      </c>
      <c r="M492" t="str">
        <f t="shared" si="22"/>
        <v>2026-10</v>
      </c>
      <c r="N492">
        <f t="shared" si="23"/>
        <v>0.49333333333333335</v>
      </c>
    </row>
    <row r="493" spans="1:14">
      <c r="A493" t="s">
        <v>622</v>
      </c>
      <c r="B493" t="s">
        <v>141</v>
      </c>
      <c r="C493" t="s">
        <v>69</v>
      </c>
      <c r="D493" t="s">
        <v>44</v>
      </c>
      <c r="E493" s="1">
        <v>46287</v>
      </c>
      <c r="F493">
        <v>317</v>
      </c>
      <c r="G493" t="s">
        <v>46</v>
      </c>
      <c r="H493">
        <v>300</v>
      </c>
      <c r="I493">
        <v>279</v>
      </c>
      <c r="J493">
        <v>3945803.92</v>
      </c>
      <c r="K493">
        <v>450757.01</v>
      </c>
      <c r="L493">
        <f t="shared" si="21"/>
        <v>3495046.91</v>
      </c>
      <c r="M493" t="str">
        <f t="shared" si="22"/>
        <v>2026-09</v>
      </c>
      <c r="N493">
        <f t="shared" si="23"/>
        <v>0.93</v>
      </c>
    </row>
    <row r="494" spans="1:14">
      <c r="A494" t="s">
        <v>623</v>
      </c>
      <c r="B494" t="s">
        <v>153</v>
      </c>
      <c r="C494" t="s">
        <v>69</v>
      </c>
      <c r="D494" t="s">
        <v>40</v>
      </c>
      <c r="E494" s="1">
        <v>46240</v>
      </c>
      <c r="F494">
        <v>405</v>
      </c>
      <c r="G494" t="s">
        <v>46</v>
      </c>
      <c r="H494">
        <v>250</v>
      </c>
      <c r="I494">
        <v>75</v>
      </c>
      <c r="J494">
        <v>509101.63</v>
      </c>
      <c r="K494">
        <v>363008.72</v>
      </c>
      <c r="L494">
        <f t="shared" si="21"/>
        <v>146092.91000000003</v>
      </c>
      <c r="M494" t="str">
        <f t="shared" si="22"/>
        <v>2026-08</v>
      </c>
      <c r="N494">
        <f t="shared" si="23"/>
        <v>0.3</v>
      </c>
    </row>
    <row r="495" spans="1:14">
      <c r="A495" t="s">
        <v>624</v>
      </c>
      <c r="B495" t="s">
        <v>157</v>
      </c>
      <c r="C495" t="s">
        <v>45</v>
      </c>
      <c r="D495" t="s">
        <v>52</v>
      </c>
      <c r="E495" s="1">
        <v>46177</v>
      </c>
      <c r="F495">
        <v>149</v>
      </c>
      <c r="G495" t="s">
        <v>46</v>
      </c>
      <c r="H495">
        <v>180</v>
      </c>
      <c r="I495">
        <v>151</v>
      </c>
      <c r="J495">
        <v>1972976.88</v>
      </c>
      <c r="K495">
        <v>255983.66</v>
      </c>
      <c r="L495">
        <f t="shared" si="21"/>
        <v>1716993.22</v>
      </c>
      <c r="M495" t="str">
        <f t="shared" si="22"/>
        <v>2026-06</v>
      </c>
      <c r="N495">
        <f t="shared" si="23"/>
        <v>0.83888888888888891</v>
      </c>
    </row>
    <row r="496" spans="1:14">
      <c r="A496" t="s">
        <v>625</v>
      </c>
      <c r="B496" t="s">
        <v>28</v>
      </c>
      <c r="C496" t="s">
        <v>29</v>
      </c>
      <c r="D496" t="s">
        <v>30</v>
      </c>
      <c r="E496" s="1">
        <v>46270</v>
      </c>
      <c r="F496">
        <v>323</v>
      </c>
      <c r="G496" t="s">
        <v>46</v>
      </c>
      <c r="H496">
        <v>180</v>
      </c>
      <c r="I496">
        <v>80</v>
      </c>
      <c r="J496">
        <v>846604.95</v>
      </c>
      <c r="K496">
        <v>370666.04</v>
      </c>
      <c r="L496">
        <f t="shared" si="21"/>
        <v>475938.91</v>
      </c>
      <c r="M496" t="str">
        <f t="shared" si="22"/>
        <v>2026-09</v>
      </c>
      <c r="N496">
        <f t="shared" si="23"/>
        <v>0.44444444444444442</v>
      </c>
    </row>
    <row r="497" spans="1:14">
      <c r="A497" t="s">
        <v>626</v>
      </c>
      <c r="B497" t="s">
        <v>81</v>
      </c>
      <c r="C497" t="s">
        <v>34</v>
      </c>
      <c r="D497" t="s">
        <v>69</v>
      </c>
      <c r="E497" s="1">
        <v>46254</v>
      </c>
      <c r="F497">
        <v>152</v>
      </c>
      <c r="G497" t="s">
        <v>35</v>
      </c>
      <c r="H497">
        <v>180</v>
      </c>
      <c r="I497">
        <v>63</v>
      </c>
      <c r="J497">
        <v>943728.98</v>
      </c>
      <c r="K497">
        <v>223600.98</v>
      </c>
      <c r="L497">
        <f t="shared" si="21"/>
        <v>720128</v>
      </c>
      <c r="M497" t="str">
        <f t="shared" si="22"/>
        <v>2026-08</v>
      </c>
      <c r="N497">
        <f t="shared" si="23"/>
        <v>0.35</v>
      </c>
    </row>
    <row r="498" spans="1:14">
      <c r="A498" t="s">
        <v>627</v>
      </c>
      <c r="B498" t="s">
        <v>66</v>
      </c>
      <c r="C498" t="s">
        <v>49</v>
      </c>
      <c r="D498" t="s">
        <v>45</v>
      </c>
      <c r="E498" s="1">
        <v>46242</v>
      </c>
      <c r="F498">
        <v>280</v>
      </c>
      <c r="G498" t="s">
        <v>41</v>
      </c>
      <c r="H498">
        <v>180</v>
      </c>
      <c r="I498">
        <v>91</v>
      </c>
      <c r="J498">
        <v>657909.30000000005</v>
      </c>
      <c r="K498">
        <v>254717.59</v>
      </c>
      <c r="L498">
        <f t="shared" si="21"/>
        <v>403191.71000000008</v>
      </c>
      <c r="M498" t="str">
        <f t="shared" si="22"/>
        <v>2026-08</v>
      </c>
      <c r="N498">
        <f t="shared" si="23"/>
        <v>0.50555555555555554</v>
      </c>
    </row>
    <row r="499" spans="1:14">
      <c r="A499" t="s">
        <v>628</v>
      </c>
      <c r="B499" t="s">
        <v>86</v>
      </c>
      <c r="C499" t="s">
        <v>45</v>
      </c>
      <c r="D499" t="s">
        <v>49</v>
      </c>
      <c r="E499" s="1">
        <v>46175</v>
      </c>
      <c r="F499">
        <v>184</v>
      </c>
      <c r="G499" t="s">
        <v>31</v>
      </c>
      <c r="H499">
        <v>180</v>
      </c>
      <c r="I499">
        <v>174</v>
      </c>
      <c r="J499">
        <v>1195014.23</v>
      </c>
      <c r="K499">
        <v>282063.90999999997</v>
      </c>
      <c r="L499">
        <f t="shared" si="21"/>
        <v>912950.32000000007</v>
      </c>
      <c r="M499" t="str">
        <f t="shared" si="22"/>
        <v>2026-06</v>
      </c>
      <c r="N499">
        <f t="shared" si="23"/>
        <v>0.96666666666666667</v>
      </c>
    </row>
    <row r="500" spans="1:14">
      <c r="A500" t="s">
        <v>629</v>
      </c>
      <c r="B500" t="s">
        <v>71</v>
      </c>
      <c r="C500" t="s">
        <v>44</v>
      </c>
      <c r="D500" t="s">
        <v>40</v>
      </c>
      <c r="E500" s="1">
        <v>46234</v>
      </c>
      <c r="F500">
        <v>268</v>
      </c>
      <c r="G500" t="s">
        <v>31</v>
      </c>
      <c r="H500">
        <v>150</v>
      </c>
      <c r="I500">
        <v>143</v>
      </c>
      <c r="J500">
        <v>789219.37</v>
      </c>
      <c r="K500">
        <v>357002.71</v>
      </c>
      <c r="L500">
        <f t="shared" si="21"/>
        <v>432216.66</v>
      </c>
      <c r="M500" t="str">
        <f t="shared" si="22"/>
        <v>2026-07</v>
      </c>
      <c r="N500">
        <f t="shared" si="23"/>
        <v>0.95333333333333337</v>
      </c>
    </row>
    <row r="501" spans="1:14">
      <c r="A501" t="s">
        <v>630</v>
      </c>
      <c r="B501" t="s">
        <v>165</v>
      </c>
      <c r="C501" t="s">
        <v>34</v>
      </c>
      <c r="D501" t="s">
        <v>29</v>
      </c>
      <c r="E501" s="1">
        <v>46057</v>
      </c>
      <c r="F501">
        <v>595</v>
      </c>
      <c r="G501" t="s">
        <v>35</v>
      </c>
      <c r="H501">
        <v>300</v>
      </c>
      <c r="I501">
        <v>257</v>
      </c>
      <c r="J501">
        <v>1412799.01</v>
      </c>
      <c r="K501">
        <v>761424.45</v>
      </c>
      <c r="L501">
        <f t="shared" si="21"/>
        <v>651374.56000000006</v>
      </c>
      <c r="M501" t="str">
        <f t="shared" si="22"/>
        <v>2026-02</v>
      </c>
      <c r="N501">
        <f t="shared" si="23"/>
        <v>0.85666666666666669</v>
      </c>
    </row>
    <row r="502" spans="1:14">
      <c r="A502" t="s">
        <v>631</v>
      </c>
      <c r="B502" t="s">
        <v>124</v>
      </c>
      <c r="C502" t="s">
        <v>55</v>
      </c>
      <c r="D502" t="s">
        <v>49</v>
      </c>
      <c r="E502" s="1">
        <v>46240</v>
      </c>
      <c r="F502">
        <v>174</v>
      </c>
      <c r="G502" t="s">
        <v>35</v>
      </c>
      <c r="H502">
        <v>250</v>
      </c>
      <c r="I502">
        <v>118</v>
      </c>
      <c r="J502">
        <v>928147.89</v>
      </c>
      <c r="K502">
        <v>331862.09999999998</v>
      </c>
      <c r="L502">
        <f t="shared" si="21"/>
        <v>596285.79</v>
      </c>
      <c r="M502" t="str">
        <f t="shared" si="22"/>
        <v>2026-08</v>
      </c>
      <c r="N502">
        <f t="shared" si="23"/>
        <v>0.47199999999999998</v>
      </c>
    </row>
    <row r="503" spans="1:14">
      <c r="A503" t="s">
        <v>632</v>
      </c>
      <c r="B503" t="s">
        <v>240</v>
      </c>
      <c r="C503" t="s">
        <v>55</v>
      </c>
      <c r="D503" t="s">
        <v>40</v>
      </c>
      <c r="E503" s="1">
        <v>46061</v>
      </c>
      <c r="F503">
        <v>318</v>
      </c>
      <c r="G503" t="s">
        <v>35</v>
      </c>
      <c r="H503">
        <v>250</v>
      </c>
      <c r="I503">
        <v>98</v>
      </c>
      <c r="J503">
        <v>1347479.3</v>
      </c>
      <c r="K503">
        <v>307033.55</v>
      </c>
      <c r="L503">
        <f t="shared" si="21"/>
        <v>1040445.75</v>
      </c>
      <c r="M503" t="str">
        <f t="shared" si="22"/>
        <v>2026-02</v>
      </c>
      <c r="N503">
        <f t="shared" si="23"/>
        <v>0.39200000000000002</v>
      </c>
    </row>
    <row r="504" spans="1:14">
      <c r="A504" t="s">
        <v>633</v>
      </c>
      <c r="B504" t="s">
        <v>64</v>
      </c>
      <c r="C504" t="s">
        <v>34</v>
      </c>
      <c r="D504" t="s">
        <v>55</v>
      </c>
      <c r="E504" s="1">
        <v>46310</v>
      </c>
      <c r="F504">
        <v>87</v>
      </c>
      <c r="G504" t="s">
        <v>41</v>
      </c>
      <c r="H504">
        <v>150</v>
      </c>
      <c r="I504">
        <v>109</v>
      </c>
      <c r="J504">
        <v>573299.69999999995</v>
      </c>
      <c r="K504">
        <v>136997.46</v>
      </c>
      <c r="L504">
        <f t="shared" si="21"/>
        <v>436302.24</v>
      </c>
      <c r="M504" t="str">
        <f t="shared" si="22"/>
        <v>2026-10</v>
      </c>
      <c r="N504">
        <f t="shared" si="23"/>
        <v>0.72666666666666668</v>
      </c>
    </row>
    <row r="505" spans="1:14">
      <c r="A505" t="s">
        <v>634</v>
      </c>
      <c r="B505" t="s">
        <v>218</v>
      </c>
      <c r="C505" t="s">
        <v>55</v>
      </c>
      <c r="D505" t="s">
        <v>29</v>
      </c>
      <c r="E505" s="1">
        <v>46150</v>
      </c>
      <c r="F505">
        <v>366</v>
      </c>
      <c r="G505" t="s">
        <v>46</v>
      </c>
      <c r="H505">
        <v>300</v>
      </c>
      <c r="I505">
        <v>156</v>
      </c>
      <c r="J505">
        <v>1841379.4</v>
      </c>
      <c r="K505">
        <v>548212.81999999995</v>
      </c>
      <c r="L505">
        <f t="shared" si="21"/>
        <v>1293166.58</v>
      </c>
      <c r="M505" t="str">
        <f t="shared" si="22"/>
        <v>2026-05</v>
      </c>
      <c r="N505">
        <f t="shared" si="23"/>
        <v>0.52</v>
      </c>
    </row>
    <row r="506" spans="1:14">
      <c r="A506" t="s">
        <v>635</v>
      </c>
      <c r="B506" t="s">
        <v>60</v>
      </c>
      <c r="C506" t="s">
        <v>44</v>
      </c>
      <c r="D506" t="s">
        <v>34</v>
      </c>
      <c r="E506" s="1">
        <v>46191</v>
      </c>
      <c r="F506">
        <v>593</v>
      </c>
      <c r="G506" t="s">
        <v>46</v>
      </c>
      <c r="H506">
        <v>150</v>
      </c>
      <c r="I506">
        <v>149</v>
      </c>
      <c r="J506">
        <v>1667616.02</v>
      </c>
      <c r="K506">
        <v>632487.49</v>
      </c>
      <c r="L506">
        <f t="shared" si="21"/>
        <v>1035128.53</v>
      </c>
      <c r="M506" t="str">
        <f t="shared" si="22"/>
        <v>2026-06</v>
      </c>
      <c r="N506">
        <f t="shared" si="23"/>
        <v>0.99333333333333329</v>
      </c>
    </row>
    <row r="507" spans="1:14">
      <c r="A507" t="s">
        <v>636</v>
      </c>
      <c r="B507" t="s">
        <v>175</v>
      </c>
      <c r="C507" t="s">
        <v>40</v>
      </c>
      <c r="D507" t="s">
        <v>29</v>
      </c>
      <c r="E507" s="1">
        <v>46071</v>
      </c>
      <c r="F507">
        <v>160</v>
      </c>
      <c r="G507" t="s">
        <v>46</v>
      </c>
      <c r="H507">
        <v>300</v>
      </c>
      <c r="I507">
        <v>225</v>
      </c>
      <c r="J507">
        <v>2495592.65</v>
      </c>
      <c r="K507">
        <v>339755.01</v>
      </c>
      <c r="L507">
        <f t="shared" si="21"/>
        <v>2155837.6399999997</v>
      </c>
      <c r="M507" t="str">
        <f t="shared" si="22"/>
        <v>2026-02</v>
      </c>
      <c r="N507">
        <f t="shared" si="23"/>
        <v>0.75</v>
      </c>
    </row>
    <row r="508" spans="1:14">
      <c r="A508" t="s">
        <v>637</v>
      </c>
      <c r="B508" t="s">
        <v>88</v>
      </c>
      <c r="C508" t="s">
        <v>55</v>
      </c>
      <c r="D508" t="s">
        <v>44</v>
      </c>
      <c r="E508" s="1">
        <v>46233</v>
      </c>
      <c r="F508">
        <v>182</v>
      </c>
      <c r="G508" t="s">
        <v>41</v>
      </c>
      <c r="H508">
        <v>180</v>
      </c>
      <c r="I508">
        <v>78</v>
      </c>
      <c r="J508">
        <v>636613.6</v>
      </c>
      <c r="K508">
        <v>236771.27</v>
      </c>
      <c r="L508">
        <f t="shared" si="21"/>
        <v>399842.32999999996</v>
      </c>
      <c r="M508" t="str">
        <f t="shared" si="22"/>
        <v>2026-07</v>
      </c>
      <c r="N508">
        <f t="shared" si="23"/>
        <v>0.43333333333333335</v>
      </c>
    </row>
    <row r="509" spans="1:14">
      <c r="A509" t="s">
        <v>638</v>
      </c>
      <c r="B509" t="s">
        <v>147</v>
      </c>
      <c r="C509" t="s">
        <v>29</v>
      </c>
      <c r="D509" t="s">
        <v>49</v>
      </c>
      <c r="E509" s="1">
        <v>46159</v>
      </c>
      <c r="F509">
        <v>492</v>
      </c>
      <c r="G509" t="s">
        <v>41</v>
      </c>
      <c r="H509">
        <v>300</v>
      </c>
      <c r="I509">
        <v>149</v>
      </c>
      <c r="J509">
        <v>2012725.01</v>
      </c>
      <c r="K509">
        <v>489480.79</v>
      </c>
      <c r="L509">
        <f t="shared" si="21"/>
        <v>1523244.22</v>
      </c>
      <c r="M509" t="str">
        <f t="shared" si="22"/>
        <v>2026-05</v>
      </c>
      <c r="N509">
        <f t="shared" si="23"/>
        <v>0.49666666666666665</v>
      </c>
    </row>
    <row r="510" spans="1:14">
      <c r="A510" t="s">
        <v>639</v>
      </c>
      <c r="B510" t="s">
        <v>48</v>
      </c>
      <c r="C510" t="s">
        <v>49</v>
      </c>
      <c r="D510" t="s">
        <v>40</v>
      </c>
      <c r="E510" s="1">
        <v>46104</v>
      </c>
      <c r="F510">
        <v>500</v>
      </c>
      <c r="G510" t="s">
        <v>41</v>
      </c>
      <c r="H510">
        <v>300</v>
      </c>
      <c r="I510">
        <v>280</v>
      </c>
      <c r="J510">
        <v>1629705.16</v>
      </c>
      <c r="K510">
        <v>628298.39</v>
      </c>
      <c r="L510">
        <f t="shared" si="21"/>
        <v>1001406.7699999999</v>
      </c>
      <c r="M510" t="str">
        <f t="shared" si="22"/>
        <v>2026-03</v>
      </c>
      <c r="N510">
        <f t="shared" si="23"/>
        <v>0.93333333333333335</v>
      </c>
    </row>
    <row r="511" spans="1:14">
      <c r="A511" t="s">
        <v>640</v>
      </c>
      <c r="B511" t="s">
        <v>92</v>
      </c>
      <c r="C511" t="s">
        <v>44</v>
      </c>
      <c r="D511" t="s">
        <v>69</v>
      </c>
      <c r="E511" s="1">
        <v>46277</v>
      </c>
      <c r="F511">
        <v>591</v>
      </c>
      <c r="G511" t="s">
        <v>46</v>
      </c>
      <c r="H511">
        <v>300</v>
      </c>
      <c r="I511">
        <v>266</v>
      </c>
      <c r="J511">
        <v>3369143.38</v>
      </c>
      <c r="K511">
        <v>477270.37</v>
      </c>
      <c r="L511">
        <f t="shared" si="21"/>
        <v>2891873.01</v>
      </c>
      <c r="M511" t="str">
        <f t="shared" si="22"/>
        <v>2026-09</v>
      </c>
      <c r="N511">
        <f t="shared" si="23"/>
        <v>0.88666666666666671</v>
      </c>
    </row>
    <row r="512" spans="1:14">
      <c r="A512" t="s">
        <v>641</v>
      </c>
      <c r="B512" t="s">
        <v>104</v>
      </c>
      <c r="C512" t="s">
        <v>34</v>
      </c>
      <c r="D512" t="s">
        <v>52</v>
      </c>
      <c r="E512" s="1">
        <v>46091</v>
      </c>
      <c r="F512">
        <v>293</v>
      </c>
      <c r="G512" t="s">
        <v>35</v>
      </c>
      <c r="H512">
        <v>150</v>
      </c>
      <c r="I512">
        <v>116</v>
      </c>
      <c r="J512">
        <v>487415.76</v>
      </c>
      <c r="K512">
        <v>277229.28000000003</v>
      </c>
      <c r="L512">
        <f t="shared" si="21"/>
        <v>210186.47999999998</v>
      </c>
      <c r="M512" t="str">
        <f t="shared" si="22"/>
        <v>2026-03</v>
      </c>
      <c r="N512">
        <f t="shared" si="23"/>
        <v>0.77333333333333332</v>
      </c>
    </row>
    <row r="513" spans="1:14">
      <c r="A513" t="s">
        <v>642</v>
      </c>
      <c r="B513" t="s">
        <v>68</v>
      </c>
      <c r="C513" t="s">
        <v>69</v>
      </c>
      <c r="D513" t="s">
        <v>45</v>
      </c>
      <c r="E513" s="1">
        <v>46090</v>
      </c>
      <c r="F513">
        <v>596</v>
      </c>
      <c r="G513" t="s">
        <v>31</v>
      </c>
      <c r="H513">
        <v>150</v>
      </c>
      <c r="I513">
        <v>93</v>
      </c>
      <c r="J513">
        <v>432711.25</v>
      </c>
      <c r="K513">
        <v>395674.03</v>
      </c>
      <c r="L513">
        <f t="shared" si="21"/>
        <v>37037.219999999972</v>
      </c>
      <c r="M513" t="str">
        <f t="shared" si="22"/>
        <v>2026-03</v>
      </c>
      <c r="N513">
        <f t="shared" si="23"/>
        <v>0.62</v>
      </c>
    </row>
    <row r="514" spans="1:14">
      <c r="A514" t="s">
        <v>643</v>
      </c>
      <c r="B514" t="s">
        <v>169</v>
      </c>
      <c r="C514" t="s">
        <v>34</v>
      </c>
      <c r="D514" t="s">
        <v>40</v>
      </c>
      <c r="E514" s="1">
        <v>46132</v>
      </c>
      <c r="F514">
        <v>117</v>
      </c>
      <c r="G514" t="s">
        <v>46</v>
      </c>
      <c r="H514">
        <v>300</v>
      </c>
      <c r="I514">
        <v>123</v>
      </c>
      <c r="J514">
        <v>1449244.16</v>
      </c>
      <c r="K514">
        <v>222747.63</v>
      </c>
      <c r="L514">
        <f t="shared" si="21"/>
        <v>1226496.5299999998</v>
      </c>
      <c r="M514" t="str">
        <f t="shared" si="22"/>
        <v>2026-04</v>
      </c>
      <c r="N514">
        <f t="shared" si="23"/>
        <v>0.41</v>
      </c>
    </row>
    <row r="515" spans="1:14">
      <c r="A515" t="s">
        <v>644</v>
      </c>
      <c r="B515" t="s">
        <v>149</v>
      </c>
      <c r="C515" t="s">
        <v>49</v>
      </c>
      <c r="D515" t="s">
        <v>69</v>
      </c>
      <c r="E515" s="1">
        <v>46148</v>
      </c>
      <c r="F515">
        <v>467</v>
      </c>
      <c r="G515" t="s">
        <v>41</v>
      </c>
      <c r="H515">
        <v>180</v>
      </c>
      <c r="I515">
        <v>92</v>
      </c>
      <c r="J515">
        <v>706886.28</v>
      </c>
      <c r="K515">
        <v>614774.99</v>
      </c>
      <c r="L515">
        <f t="shared" ref="L515:L578" si="24">J515-K515</f>
        <v>92111.290000000037</v>
      </c>
      <c r="M515" t="str">
        <f t="shared" ref="M515:M578" si="25">TEXT(E515,"YYYY-MM")</f>
        <v>2026-05</v>
      </c>
      <c r="N515">
        <f t="shared" ref="N515:N578" si="26">I515/H515</f>
        <v>0.51111111111111107</v>
      </c>
    </row>
    <row r="516" spans="1:14">
      <c r="A516" t="s">
        <v>645</v>
      </c>
      <c r="B516" t="s">
        <v>77</v>
      </c>
      <c r="C516" t="s">
        <v>45</v>
      </c>
      <c r="D516" t="s">
        <v>29</v>
      </c>
      <c r="E516" s="1">
        <v>46126</v>
      </c>
      <c r="F516">
        <v>337</v>
      </c>
      <c r="G516" t="s">
        <v>41</v>
      </c>
      <c r="H516">
        <v>250</v>
      </c>
      <c r="I516">
        <v>163</v>
      </c>
      <c r="J516">
        <v>1164337.46</v>
      </c>
      <c r="K516">
        <v>334253.32</v>
      </c>
      <c r="L516">
        <f t="shared" si="24"/>
        <v>830084.1399999999</v>
      </c>
      <c r="M516" t="str">
        <f t="shared" si="25"/>
        <v>2026-04</v>
      </c>
      <c r="N516">
        <f t="shared" si="26"/>
        <v>0.65200000000000002</v>
      </c>
    </row>
    <row r="517" spans="1:14">
      <c r="A517" t="s">
        <v>646</v>
      </c>
      <c r="B517" t="s">
        <v>202</v>
      </c>
      <c r="C517" t="s">
        <v>29</v>
      </c>
      <c r="D517" t="s">
        <v>55</v>
      </c>
      <c r="E517" s="1">
        <v>46283</v>
      </c>
      <c r="F517">
        <v>387</v>
      </c>
      <c r="G517" t="s">
        <v>31</v>
      </c>
      <c r="H517">
        <v>250</v>
      </c>
      <c r="I517">
        <v>204</v>
      </c>
      <c r="J517">
        <v>660893.74</v>
      </c>
      <c r="K517">
        <v>477410.41</v>
      </c>
      <c r="L517">
        <f t="shared" si="24"/>
        <v>183483.33000000002</v>
      </c>
      <c r="M517" t="str">
        <f t="shared" si="25"/>
        <v>2026-09</v>
      </c>
      <c r="N517">
        <f t="shared" si="26"/>
        <v>0.81599999999999995</v>
      </c>
    </row>
    <row r="518" spans="1:14">
      <c r="A518" t="s">
        <v>647</v>
      </c>
      <c r="B518" t="s">
        <v>414</v>
      </c>
      <c r="C518" t="s">
        <v>40</v>
      </c>
      <c r="D518" t="s">
        <v>52</v>
      </c>
      <c r="E518" s="1">
        <v>46119</v>
      </c>
      <c r="F518">
        <v>426</v>
      </c>
      <c r="G518" t="s">
        <v>35</v>
      </c>
      <c r="H518">
        <v>250</v>
      </c>
      <c r="I518">
        <v>184</v>
      </c>
      <c r="J518">
        <v>1851256.18</v>
      </c>
      <c r="K518">
        <v>400849.56</v>
      </c>
      <c r="L518">
        <f t="shared" si="24"/>
        <v>1450406.6199999999</v>
      </c>
      <c r="M518" t="str">
        <f t="shared" si="25"/>
        <v>2026-04</v>
      </c>
      <c r="N518">
        <f t="shared" si="26"/>
        <v>0.73599999999999999</v>
      </c>
    </row>
    <row r="519" spans="1:14">
      <c r="A519" t="s">
        <v>648</v>
      </c>
      <c r="B519" t="s">
        <v>66</v>
      </c>
      <c r="C519" t="s">
        <v>49</v>
      </c>
      <c r="D519" t="s">
        <v>45</v>
      </c>
      <c r="E519" s="1">
        <v>46183</v>
      </c>
      <c r="F519">
        <v>77</v>
      </c>
      <c r="G519" t="s">
        <v>46</v>
      </c>
      <c r="H519">
        <v>150</v>
      </c>
      <c r="I519">
        <v>79</v>
      </c>
      <c r="J519">
        <v>1101318</v>
      </c>
      <c r="K519">
        <v>151342.25</v>
      </c>
      <c r="L519">
        <f t="shared" si="24"/>
        <v>949975.75</v>
      </c>
      <c r="M519" t="str">
        <f t="shared" si="25"/>
        <v>2026-06</v>
      </c>
      <c r="N519">
        <f t="shared" si="26"/>
        <v>0.52666666666666662</v>
      </c>
    </row>
    <row r="520" spans="1:14">
      <c r="A520" t="s">
        <v>649</v>
      </c>
      <c r="B520" t="s">
        <v>506</v>
      </c>
      <c r="C520" t="s">
        <v>55</v>
      </c>
      <c r="D520" t="s">
        <v>34</v>
      </c>
      <c r="E520" s="1">
        <v>46188</v>
      </c>
      <c r="F520">
        <v>165</v>
      </c>
      <c r="G520" t="s">
        <v>35</v>
      </c>
      <c r="H520">
        <v>180</v>
      </c>
      <c r="I520">
        <v>121</v>
      </c>
      <c r="J520">
        <v>1261420.6200000001</v>
      </c>
      <c r="K520">
        <v>181934.01</v>
      </c>
      <c r="L520">
        <f t="shared" si="24"/>
        <v>1079486.6100000001</v>
      </c>
      <c r="M520" t="str">
        <f t="shared" si="25"/>
        <v>2026-06</v>
      </c>
      <c r="N520">
        <f t="shared" si="26"/>
        <v>0.67222222222222228</v>
      </c>
    </row>
    <row r="521" spans="1:14">
      <c r="A521" t="s">
        <v>650</v>
      </c>
      <c r="B521" t="s">
        <v>113</v>
      </c>
      <c r="C521" t="s">
        <v>44</v>
      </c>
      <c r="D521" t="s">
        <v>55</v>
      </c>
      <c r="E521" s="1">
        <v>46300</v>
      </c>
      <c r="F521">
        <v>514</v>
      </c>
      <c r="G521" t="s">
        <v>35</v>
      </c>
      <c r="H521">
        <v>180</v>
      </c>
      <c r="I521">
        <v>138</v>
      </c>
      <c r="J521">
        <v>1445611.9</v>
      </c>
      <c r="K521">
        <v>507785.34</v>
      </c>
      <c r="L521">
        <f t="shared" si="24"/>
        <v>937826.55999999982</v>
      </c>
      <c r="M521" t="str">
        <f t="shared" si="25"/>
        <v>2026-10</v>
      </c>
      <c r="N521">
        <f t="shared" si="26"/>
        <v>0.76666666666666672</v>
      </c>
    </row>
    <row r="522" spans="1:14">
      <c r="A522" t="s">
        <v>651</v>
      </c>
      <c r="B522" t="s">
        <v>118</v>
      </c>
      <c r="C522" t="s">
        <v>40</v>
      </c>
      <c r="D522" t="s">
        <v>69</v>
      </c>
      <c r="E522" s="1">
        <v>46073</v>
      </c>
      <c r="F522">
        <v>245</v>
      </c>
      <c r="G522" t="s">
        <v>46</v>
      </c>
      <c r="H522">
        <v>250</v>
      </c>
      <c r="I522">
        <v>180</v>
      </c>
      <c r="J522">
        <v>721900.1</v>
      </c>
      <c r="K522">
        <v>416354.77</v>
      </c>
      <c r="L522">
        <f t="shared" si="24"/>
        <v>305545.32999999996</v>
      </c>
      <c r="M522" t="str">
        <f t="shared" si="25"/>
        <v>2026-02</v>
      </c>
      <c r="N522">
        <f t="shared" si="26"/>
        <v>0.72</v>
      </c>
    </row>
    <row r="523" spans="1:14">
      <c r="A523" t="s">
        <v>652</v>
      </c>
      <c r="B523" t="s">
        <v>407</v>
      </c>
      <c r="C523" t="s">
        <v>49</v>
      </c>
      <c r="D523" t="s">
        <v>29</v>
      </c>
      <c r="E523" s="1">
        <v>46155</v>
      </c>
      <c r="F523">
        <v>180</v>
      </c>
      <c r="G523" t="s">
        <v>46</v>
      </c>
      <c r="H523">
        <v>300</v>
      </c>
      <c r="I523">
        <v>246</v>
      </c>
      <c r="J523">
        <v>3609835.96</v>
      </c>
      <c r="K523">
        <v>240613.42</v>
      </c>
      <c r="L523">
        <f t="shared" si="24"/>
        <v>3369222.54</v>
      </c>
      <c r="M523" t="str">
        <f t="shared" si="25"/>
        <v>2026-05</v>
      </c>
      <c r="N523">
        <f t="shared" si="26"/>
        <v>0.82</v>
      </c>
    </row>
    <row r="524" spans="1:14">
      <c r="A524" t="s">
        <v>653</v>
      </c>
      <c r="B524" t="s">
        <v>192</v>
      </c>
      <c r="C524" t="s">
        <v>49</v>
      </c>
      <c r="D524" t="s">
        <v>44</v>
      </c>
      <c r="E524" s="1">
        <v>46196</v>
      </c>
      <c r="F524">
        <v>88</v>
      </c>
      <c r="G524" t="s">
        <v>31</v>
      </c>
      <c r="H524">
        <v>300</v>
      </c>
      <c r="I524">
        <v>295</v>
      </c>
      <c r="J524">
        <v>1032121.86</v>
      </c>
      <c r="K524">
        <v>206738.74</v>
      </c>
      <c r="L524">
        <f t="shared" si="24"/>
        <v>825383.12</v>
      </c>
      <c r="M524" t="str">
        <f t="shared" si="25"/>
        <v>2026-06</v>
      </c>
      <c r="N524">
        <f t="shared" si="26"/>
        <v>0.98333333333333328</v>
      </c>
    </row>
    <row r="525" spans="1:14">
      <c r="A525" t="s">
        <v>654</v>
      </c>
      <c r="B525" t="s">
        <v>149</v>
      </c>
      <c r="C525" t="s">
        <v>49</v>
      </c>
      <c r="D525" t="s">
        <v>69</v>
      </c>
      <c r="E525" s="1">
        <v>46254</v>
      </c>
      <c r="F525">
        <v>254</v>
      </c>
      <c r="G525" t="s">
        <v>46</v>
      </c>
      <c r="H525">
        <v>180</v>
      </c>
      <c r="I525">
        <v>74</v>
      </c>
      <c r="J525">
        <v>249983.58</v>
      </c>
      <c r="K525">
        <v>238621.42</v>
      </c>
      <c r="L525">
        <f t="shared" si="24"/>
        <v>11362.159999999974</v>
      </c>
      <c r="M525" t="str">
        <f t="shared" si="25"/>
        <v>2026-08</v>
      </c>
      <c r="N525">
        <f t="shared" si="26"/>
        <v>0.41111111111111109</v>
      </c>
    </row>
    <row r="526" spans="1:14">
      <c r="A526" t="s">
        <v>655</v>
      </c>
      <c r="B526" t="s">
        <v>33</v>
      </c>
      <c r="C526" t="s">
        <v>29</v>
      </c>
      <c r="D526" t="s">
        <v>34</v>
      </c>
      <c r="E526" s="1">
        <v>46220</v>
      </c>
      <c r="F526">
        <v>415</v>
      </c>
      <c r="G526" t="s">
        <v>35</v>
      </c>
      <c r="H526">
        <v>150</v>
      </c>
      <c r="I526">
        <v>66</v>
      </c>
      <c r="J526">
        <v>916946.9</v>
      </c>
      <c r="K526">
        <v>307894.58</v>
      </c>
      <c r="L526">
        <f t="shared" si="24"/>
        <v>609052.32000000007</v>
      </c>
      <c r="M526" t="str">
        <f t="shared" si="25"/>
        <v>2026-07</v>
      </c>
      <c r="N526">
        <f t="shared" si="26"/>
        <v>0.44</v>
      </c>
    </row>
    <row r="527" spans="1:14">
      <c r="A527" t="s">
        <v>656</v>
      </c>
      <c r="B527" t="s">
        <v>370</v>
      </c>
      <c r="C527" t="s">
        <v>44</v>
      </c>
      <c r="D527" t="s">
        <v>29</v>
      </c>
      <c r="E527" s="1">
        <v>46237</v>
      </c>
      <c r="F527">
        <v>217</v>
      </c>
      <c r="G527" t="s">
        <v>41</v>
      </c>
      <c r="H527">
        <v>150</v>
      </c>
      <c r="I527">
        <v>134</v>
      </c>
      <c r="J527">
        <v>1933234.21</v>
      </c>
      <c r="K527">
        <v>191073.76</v>
      </c>
      <c r="L527">
        <f t="shared" si="24"/>
        <v>1742160.45</v>
      </c>
      <c r="M527" t="str">
        <f t="shared" si="25"/>
        <v>2026-08</v>
      </c>
      <c r="N527">
        <f t="shared" si="26"/>
        <v>0.89333333333333331</v>
      </c>
    </row>
    <row r="528" spans="1:14">
      <c r="A528" t="s">
        <v>657</v>
      </c>
      <c r="B528" t="s">
        <v>73</v>
      </c>
      <c r="C528" t="s">
        <v>29</v>
      </c>
      <c r="D528" t="s">
        <v>52</v>
      </c>
      <c r="E528" s="1">
        <v>46152</v>
      </c>
      <c r="F528">
        <v>598</v>
      </c>
      <c r="G528" t="s">
        <v>31</v>
      </c>
      <c r="H528">
        <v>180</v>
      </c>
      <c r="I528">
        <v>152</v>
      </c>
      <c r="J528">
        <v>1549230.06</v>
      </c>
      <c r="K528">
        <v>532024.98</v>
      </c>
      <c r="L528">
        <f t="shared" si="24"/>
        <v>1017205.0800000001</v>
      </c>
      <c r="M528" t="str">
        <f t="shared" si="25"/>
        <v>2026-05</v>
      </c>
      <c r="N528">
        <f t="shared" si="26"/>
        <v>0.84444444444444444</v>
      </c>
    </row>
    <row r="529" spans="1:14">
      <c r="A529" t="s">
        <v>658</v>
      </c>
      <c r="B529" t="s">
        <v>104</v>
      </c>
      <c r="C529" t="s">
        <v>34</v>
      </c>
      <c r="D529" t="s">
        <v>52</v>
      </c>
      <c r="E529" s="1">
        <v>46143</v>
      </c>
      <c r="F529">
        <v>85</v>
      </c>
      <c r="G529" t="s">
        <v>46</v>
      </c>
      <c r="H529">
        <v>150</v>
      </c>
      <c r="I529">
        <v>116</v>
      </c>
      <c r="J529">
        <v>1250373.68</v>
      </c>
      <c r="K529">
        <v>127756.99</v>
      </c>
      <c r="L529">
        <f t="shared" si="24"/>
        <v>1122616.69</v>
      </c>
      <c r="M529" t="str">
        <f t="shared" si="25"/>
        <v>2026-05</v>
      </c>
      <c r="N529">
        <f t="shared" si="26"/>
        <v>0.77333333333333332</v>
      </c>
    </row>
    <row r="530" spans="1:14">
      <c r="A530" t="s">
        <v>659</v>
      </c>
      <c r="B530" t="s">
        <v>54</v>
      </c>
      <c r="C530" t="s">
        <v>52</v>
      </c>
      <c r="D530" t="s">
        <v>55</v>
      </c>
      <c r="E530" s="1">
        <v>46300</v>
      </c>
      <c r="F530">
        <v>264</v>
      </c>
      <c r="G530" t="s">
        <v>41</v>
      </c>
      <c r="H530">
        <v>250</v>
      </c>
      <c r="I530">
        <v>231</v>
      </c>
      <c r="J530">
        <v>2960002.79</v>
      </c>
      <c r="K530">
        <v>437909.47</v>
      </c>
      <c r="L530">
        <f t="shared" si="24"/>
        <v>2522093.3200000003</v>
      </c>
      <c r="M530" t="str">
        <f t="shared" si="25"/>
        <v>2026-10</v>
      </c>
      <c r="N530">
        <f t="shared" si="26"/>
        <v>0.92400000000000004</v>
      </c>
    </row>
    <row r="531" spans="1:14">
      <c r="A531" t="s">
        <v>660</v>
      </c>
      <c r="B531" t="s">
        <v>182</v>
      </c>
      <c r="C531" t="s">
        <v>45</v>
      </c>
      <c r="D531" t="s">
        <v>34</v>
      </c>
      <c r="E531" s="1">
        <v>46227</v>
      </c>
      <c r="F531">
        <v>315</v>
      </c>
      <c r="G531" t="s">
        <v>35</v>
      </c>
      <c r="H531">
        <v>180</v>
      </c>
      <c r="I531">
        <v>161</v>
      </c>
      <c r="J531">
        <v>2173048.0299999998</v>
      </c>
      <c r="K531">
        <v>275923.02</v>
      </c>
      <c r="L531">
        <f t="shared" si="24"/>
        <v>1897125.0099999998</v>
      </c>
      <c r="M531" t="str">
        <f t="shared" si="25"/>
        <v>2026-07</v>
      </c>
      <c r="N531">
        <f t="shared" si="26"/>
        <v>0.89444444444444449</v>
      </c>
    </row>
    <row r="532" spans="1:14">
      <c r="A532" t="s">
        <v>661</v>
      </c>
      <c r="B532" t="s">
        <v>205</v>
      </c>
      <c r="C532" t="s">
        <v>52</v>
      </c>
      <c r="D532" t="s">
        <v>44</v>
      </c>
      <c r="E532" s="1">
        <v>46314</v>
      </c>
      <c r="F532">
        <v>384</v>
      </c>
      <c r="G532" t="s">
        <v>46</v>
      </c>
      <c r="H532">
        <v>300</v>
      </c>
      <c r="I532">
        <v>218</v>
      </c>
      <c r="J532">
        <v>2650400.5499999998</v>
      </c>
      <c r="K532">
        <v>557644.57999999996</v>
      </c>
      <c r="L532">
        <f t="shared" si="24"/>
        <v>2092755.9699999997</v>
      </c>
      <c r="M532" t="str">
        <f t="shared" si="25"/>
        <v>2026-10</v>
      </c>
      <c r="N532">
        <f t="shared" si="26"/>
        <v>0.72666666666666668</v>
      </c>
    </row>
    <row r="533" spans="1:14">
      <c r="A533" t="s">
        <v>662</v>
      </c>
      <c r="B533" t="s">
        <v>370</v>
      </c>
      <c r="C533" t="s">
        <v>44</v>
      </c>
      <c r="D533" t="s">
        <v>29</v>
      </c>
      <c r="E533" s="1">
        <v>46051</v>
      </c>
      <c r="F533">
        <v>138</v>
      </c>
      <c r="G533" t="s">
        <v>41</v>
      </c>
      <c r="H533">
        <v>150</v>
      </c>
      <c r="I533">
        <v>74</v>
      </c>
      <c r="J533">
        <v>392204.13</v>
      </c>
      <c r="K533">
        <v>189840.98</v>
      </c>
      <c r="L533">
        <f t="shared" si="24"/>
        <v>202363.15</v>
      </c>
      <c r="M533" t="str">
        <f t="shared" si="25"/>
        <v>2026-01</v>
      </c>
      <c r="N533">
        <f t="shared" si="26"/>
        <v>0.49333333333333335</v>
      </c>
    </row>
    <row r="534" spans="1:14">
      <c r="A534" t="s">
        <v>663</v>
      </c>
      <c r="B534" t="s">
        <v>260</v>
      </c>
      <c r="C534" t="s">
        <v>69</v>
      </c>
      <c r="D534" t="s">
        <v>29</v>
      </c>
      <c r="E534" s="1">
        <v>46260</v>
      </c>
      <c r="F534">
        <v>547</v>
      </c>
      <c r="G534" t="s">
        <v>46</v>
      </c>
      <c r="H534">
        <v>150</v>
      </c>
      <c r="I534">
        <v>82</v>
      </c>
      <c r="J534">
        <v>1165587.6000000001</v>
      </c>
      <c r="K534">
        <v>626508.88</v>
      </c>
      <c r="L534">
        <f t="shared" si="24"/>
        <v>539078.72000000009</v>
      </c>
      <c r="M534" t="str">
        <f t="shared" si="25"/>
        <v>2026-08</v>
      </c>
      <c r="N534">
        <f t="shared" si="26"/>
        <v>0.54666666666666663</v>
      </c>
    </row>
    <row r="535" spans="1:14">
      <c r="A535" t="s">
        <v>664</v>
      </c>
      <c r="B535" t="s">
        <v>198</v>
      </c>
      <c r="C535" t="s">
        <v>45</v>
      </c>
      <c r="D535" t="s">
        <v>40</v>
      </c>
      <c r="E535" s="1">
        <v>46033</v>
      </c>
      <c r="F535">
        <v>459</v>
      </c>
      <c r="G535" t="s">
        <v>46</v>
      </c>
      <c r="H535">
        <v>150</v>
      </c>
      <c r="I535">
        <v>143</v>
      </c>
      <c r="J535">
        <v>955962.57</v>
      </c>
      <c r="K535">
        <v>315796.67</v>
      </c>
      <c r="L535">
        <f t="shared" si="24"/>
        <v>640165.89999999991</v>
      </c>
      <c r="M535" t="str">
        <f t="shared" si="25"/>
        <v>2026-01</v>
      </c>
      <c r="N535">
        <f t="shared" si="26"/>
        <v>0.95333333333333337</v>
      </c>
    </row>
    <row r="536" spans="1:14">
      <c r="A536" t="s">
        <v>665</v>
      </c>
      <c r="B536" t="s">
        <v>122</v>
      </c>
      <c r="C536" t="s">
        <v>29</v>
      </c>
      <c r="D536" t="s">
        <v>45</v>
      </c>
      <c r="E536" s="1">
        <v>46250</v>
      </c>
      <c r="F536">
        <v>347</v>
      </c>
      <c r="G536" t="s">
        <v>41</v>
      </c>
      <c r="H536">
        <v>180</v>
      </c>
      <c r="I536">
        <v>76</v>
      </c>
      <c r="J536">
        <v>920682.38</v>
      </c>
      <c r="K536">
        <v>313534.53000000003</v>
      </c>
      <c r="L536">
        <f t="shared" si="24"/>
        <v>607147.85</v>
      </c>
      <c r="M536" t="str">
        <f t="shared" si="25"/>
        <v>2026-08</v>
      </c>
      <c r="N536">
        <f t="shared" si="26"/>
        <v>0.42222222222222222</v>
      </c>
    </row>
    <row r="537" spans="1:14">
      <c r="A537" t="s">
        <v>666</v>
      </c>
      <c r="B537" t="s">
        <v>107</v>
      </c>
      <c r="C537" t="s">
        <v>30</v>
      </c>
      <c r="D537" t="s">
        <v>45</v>
      </c>
      <c r="E537" s="1">
        <v>46220</v>
      </c>
      <c r="F537">
        <v>285</v>
      </c>
      <c r="G537" t="s">
        <v>31</v>
      </c>
      <c r="H537">
        <v>250</v>
      </c>
      <c r="I537">
        <v>75</v>
      </c>
      <c r="J537">
        <v>961470.46</v>
      </c>
      <c r="K537">
        <v>403823.61</v>
      </c>
      <c r="L537">
        <f t="shared" si="24"/>
        <v>557646.85</v>
      </c>
      <c r="M537" t="str">
        <f t="shared" si="25"/>
        <v>2026-07</v>
      </c>
      <c r="N537">
        <f t="shared" si="26"/>
        <v>0.3</v>
      </c>
    </row>
    <row r="538" spans="1:14">
      <c r="A538" t="s">
        <v>667</v>
      </c>
      <c r="B538" t="s">
        <v>73</v>
      </c>
      <c r="C538" t="s">
        <v>29</v>
      </c>
      <c r="D538" t="s">
        <v>52</v>
      </c>
      <c r="E538" s="1">
        <v>46254</v>
      </c>
      <c r="F538">
        <v>479</v>
      </c>
      <c r="G538" t="s">
        <v>35</v>
      </c>
      <c r="H538">
        <v>180</v>
      </c>
      <c r="I538">
        <v>73</v>
      </c>
      <c r="J538">
        <v>1045739.35</v>
      </c>
      <c r="K538">
        <v>656916.98</v>
      </c>
      <c r="L538">
        <f t="shared" si="24"/>
        <v>388822.37</v>
      </c>
      <c r="M538" t="str">
        <f t="shared" si="25"/>
        <v>2026-08</v>
      </c>
      <c r="N538">
        <f t="shared" si="26"/>
        <v>0.40555555555555556</v>
      </c>
    </row>
    <row r="539" spans="1:14">
      <c r="A539" t="s">
        <v>668</v>
      </c>
      <c r="B539" t="s">
        <v>81</v>
      </c>
      <c r="C539" t="s">
        <v>34</v>
      </c>
      <c r="D539" t="s">
        <v>69</v>
      </c>
      <c r="E539" s="1">
        <v>46249</v>
      </c>
      <c r="F539">
        <v>379</v>
      </c>
      <c r="G539" t="s">
        <v>35</v>
      </c>
      <c r="H539">
        <v>300</v>
      </c>
      <c r="I539">
        <v>231</v>
      </c>
      <c r="J539">
        <v>2555948.94</v>
      </c>
      <c r="K539">
        <v>353301.9</v>
      </c>
      <c r="L539">
        <f t="shared" si="24"/>
        <v>2202647.04</v>
      </c>
      <c r="M539" t="str">
        <f t="shared" si="25"/>
        <v>2026-08</v>
      </c>
      <c r="N539">
        <f t="shared" si="26"/>
        <v>0.77</v>
      </c>
    </row>
    <row r="540" spans="1:14">
      <c r="A540" t="s">
        <v>669</v>
      </c>
      <c r="B540" t="s">
        <v>96</v>
      </c>
      <c r="C540" t="s">
        <v>69</v>
      </c>
      <c r="D540" t="s">
        <v>30</v>
      </c>
      <c r="E540" s="1">
        <v>46109</v>
      </c>
      <c r="F540">
        <v>462</v>
      </c>
      <c r="G540" t="s">
        <v>35</v>
      </c>
      <c r="H540">
        <v>250</v>
      </c>
      <c r="I540">
        <v>208</v>
      </c>
      <c r="J540">
        <v>2288746.4</v>
      </c>
      <c r="K540">
        <v>420910.53</v>
      </c>
      <c r="L540">
        <f t="shared" si="24"/>
        <v>1867835.8699999999</v>
      </c>
      <c r="M540" t="str">
        <f t="shared" si="25"/>
        <v>2026-03</v>
      </c>
      <c r="N540">
        <f t="shared" si="26"/>
        <v>0.83199999999999996</v>
      </c>
    </row>
    <row r="541" spans="1:14">
      <c r="A541" t="s">
        <v>670</v>
      </c>
      <c r="B541" t="s">
        <v>60</v>
      </c>
      <c r="C541" t="s">
        <v>44</v>
      </c>
      <c r="D541" t="s">
        <v>34</v>
      </c>
      <c r="E541" s="1">
        <v>46301</v>
      </c>
      <c r="F541">
        <v>118</v>
      </c>
      <c r="G541" t="s">
        <v>46</v>
      </c>
      <c r="H541">
        <v>250</v>
      </c>
      <c r="I541">
        <v>124</v>
      </c>
      <c r="J541">
        <v>1073326.83</v>
      </c>
      <c r="K541">
        <v>265038.65999999997</v>
      </c>
      <c r="L541">
        <f t="shared" si="24"/>
        <v>808288.17000000016</v>
      </c>
      <c r="M541" t="str">
        <f t="shared" si="25"/>
        <v>2026-10</v>
      </c>
      <c r="N541">
        <f t="shared" si="26"/>
        <v>0.496</v>
      </c>
    </row>
    <row r="542" spans="1:14">
      <c r="A542" t="s">
        <v>671</v>
      </c>
      <c r="B542" t="s">
        <v>60</v>
      </c>
      <c r="C542" t="s">
        <v>44</v>
      </c>
      <c r="D542" t="s">
        <v>34</v>
      </c>
      <c r="E542" s="1">
        <v>46213</v>
      </c>
      <c r="F542">
        <v>519</v>
      </c>
      <c r="G542" t="s">
        <v>31</v>
      </c>
      <c r="H542">
        <v>150</v>
      </c>
      <c r="I542">
        <v>88</v>
      </c>
      <c r="J542">
        <v>330430.28999999998</v>
      </c>
      <c r="K542">
        <v>402563.09</v>
      </c>
      <c r="L542">
        <f t="shared" si="24"/>
        <v>-72132.800000000047</v>
      </c>
      <c r="M542" t="str">
        <f t="shared" si="25"/>
        <v>2026-07</v>
      </c>
      <c r="N542">
        <f t="shared" si="26"/>
        <v>0.58666666666666667</v>
      </c>
    </row>
    <row r="543" spans="1:14">
      <c r="A543" t="s">
        <v>672</v>
      </c>
      <c r="B543" t="s">
        <v>478</v>
      </c>
      <c r="C543" t="s">
        <v>40</v>
      </c>
      <c r="D543" t="s">
        <v>44</v>
      </c>
      <c r="E543" s="1">
        <v>46210</v>
      </c>
      <c r="F543">
        <v>431</v>
      </c>
      <c r="G543" t="s">
        <v>35</v>
      </c>
      <c r="H543">
        <v>300</v>
      </c>
      <c r="I543">
        <v>99</v>
      </c>
      <c r="J543">
        <v>1164149.1399999999</v>
      </c>
      <c r="K543">
        <v>633634.81999999995</v>
      </c>
      <c r="L543">
        <f t="shared" si="24"/>
        <v>530514.31999999995</v>
      </c>
      <c r="M543" t="str">
        <f t="shared" si="25"/>
        <v>2026-07</v>
      </c>
      <c r="N543">
        <f t="shared" si="26"/>
        <v>0.33</v>
      </c>
    </row>
    <row r="544" spans="1:14">
      <c r="A544" t="s">
        <v>673</v>
      </c>
      <c r="B544" t="s">
        <v>430</v>
      </c>
      <c r="C544" t="s">
        <v>49</v>
      </c>
      <c r="D544" t="s">
        <v>52</v>
      </c>
      <c r="E544" s="1">
        <v>46265</v>
      </c>
      <c r="F544">
        <v>571</v>
      </c>
      <c r="G544" t="s">
        <v>41</v>
      </c>
      <c r="H544">
        <v>250</v>
      </c>
      <c r="I544">
        <v>144</v>
      </c>
      <c r="J544">
        <v>1316629.95</v>
      </c>
      <c r="K544">
        <v>621144.94999999995</v>
      </c>
      <c r="L544">
        <f t="shared" si="24"/>
        <v>695485</v>
      </c>
      <c r="M544" t="str">
        <f t="shared" si="25"/>
        <v>2026-08</v>
      </c>
      <c r="N544">
        <f t="shared" si="26"/>
        <v>0.57599999999999996</v>
      </c>
    </row>
    <row r="545" spans="1:14">
      <c r="A545" t="s">
        <v>674</v>
      </c>
      <c r="B545" t="s">
        <v>256</v>
      </c>
      <c r="C545" t="s">
        <v>45</v>
      </c>
      <c r="D545" t="s">
        <v>44</v>
      </c>
      <c r="E545" s="1">
        <v>46157</v>
      </c>
      <c r="F545">
        <v>281</v>
      </c>
      <c r="G545" t="s">
        <v>35</v>
      </c>
      <c r="H545">
        <v>180</v>
      </c>
      <c r="I545">
        <v>119</v>
      </c>
      <c r="J545">
        <v>781421.75</v>
      </c>
      <c r="K545">
        <v>257177.76</v>
      </c>
      <c r="L545">
        <f t="shared" si="24"/>
        <v>524243.99</v>
      </c>
      <c r="M545" t="str">
        <f t="shared" si="25"/>
        <v>2026-05</v>
      </c>
      <c r="N545">
        <f t="shared" si="26"/>
        <v>0.66111111111111109</v>
      </c>
    </row>
    <row r="546" spans="1:14">
      <c r="A546" t="s">
        <v>675</v>
      </c>
      <c r="B546" t="s">
        <v>370</v>
      </c>
      <c r="C546" t="s">
        <v>44</v>
      </c>
      <c r="D546" t="s">
        <v>29</v>
      </c>
      <c r="E546" s="1">
        <v>46296</v>
      </c>
      <c r="F546">
        <v>372</v>
      </c>
      <c r="G546" t="s">
        <v>31</v>
      </c>
      <c r="H546">
        <v>300</v>
      </c>
      <c r="I546">
        <v>281</v>
      </c>
      <c r="J546">
        <v>3214460.34</v>
      </c>
      <c r="K546">
        <v>440817.86</v>
      </c>
      <c r="L546">
        <f t="shared" si="24"/>
        <v>2773642.48</v>
      </c>
      <c r="M546" t="str">
        <f t="shared" si="25"/>
        <v>2026-10</v>
      </c>
      <c r="N546">
        <f t="shared" si="26"/>
        <v>0.93666666666666665</v>
      </c>
    </row>
    <row r="547" spans="1:14">
      <c r="A547" t="s">
        <v>676</v>
      </c>
      <c r="B547" t="s">
        <v>370</v>
      </c>
      <c r="C547" t="s">
        <v>44</v>
      </c>
      <c r="D547" t="s">
        <v>29</v>
      </c>
      <c r="E547" s="1">
        <v>46228</v>
      </c>
      <c r="F547">
        <v>525</v>
      </c>
      <c r="G547" t="s">
        <v>35</v>
      </c>
      <c r="H547">
        <v>300</v>
      </c>
      <c r="I547">
        <v>185</v>
      </c>
      <c r="J547">
        <v>1657264.24</v>
      </c>
      <c r="K547">
        <v>457819.55</v>
      </c>
      <c r="L547">
        <f t="shared" si="24"/>
        <v>1199444.69</v>
      </c>
      <c r="M547" t="str">
        <f t="shared" si="25"/>
        <v>2026-07</v>
      </c>
      <c r="N547">
        <f t="shared" si="26"/>
        <v>0.6166666666666667</v>
      </c>
    </row>
    <row r="548" spans="1:14">
      <c r="A548" t="s">
        <v>677</v>
      </c>
      <c r="B548" t="s">
        <v>277</v>
      </c>
      <c r="C548" t="s">
        <v>45</v>
      </c>
      <c r="D548" t="s">
        <v>69</v>
      </c>
      <c r="E548" s="1">
        <v>46125</v>
      </c>
      <c r="F548">
        <v>122</v>
      </c>
      <c r="G548" t="s">
        <v>31</v>
      </c>
      <c r="H548">
        <v>180</v>
      </c>
      <c r="I548">
        <v>86</v>
      </c>
      <c r="J548">
        <v>1082004.02</v>
      </c>
      <c r="K548">
        <v>211397.3</v>
      </c>
      <c r="L548">
        <f t="shared" si="24"/>
        <v>870606.72</v>
      </c>
      <c r="M548" t="str">
        <f t="shared" si="25"/>
        <v>2026-04</v>
      </c>
      <c r="N548">
        <f t="shared" si="26"/>
        <v>0.4777777777777778</v>
      </c>
    </row>
    <row r="549" spans="1:14">
      <c r="A549" t="s">
        <v>678</v>
      </c>
      <c r="B549" t="s">
        <v>60</v>
      </c>
      <c r="C549" t="s">
        <v>44</v>
      </c>
      <c r="D549" t="s">
        <v>34</v>
      </c>
      <c r="E549" s="1">
        <v>46134</v>
      </c>
      <c r="F549">
        <v>468</v>
      </c>
      <c r="G549" t="s">
        <v>31</v>
      </c>
      <c r="H549">
        <v>180</v>
      </c>
      <c r="I549">
        <v>116</v>
      </c>
      <c r="J549">
        <v>1045618.52</v>
      </c>
      <c r="K549">
        <v>449723.86</v>
      </c>
      <c r="L549">
        <f t="shared" si="24"/>
        <v>595894.66</v>
      </c>
      <c r="M549" t="str">
        <f t="shared" si="25"/>
        <v>2026-04</v>
      </c>
      <c r="N549">
        <f t="shared" si="26"/>
        <v>0.64444444444444449</v>
      </c>
    </row>
    <row r="550" spans="1:14">
      <c r="A550" t="s">
        <v>679</v>
      </c>
      <c r="B550" t="s">
        <v>116</v>
      </c>
      <c r="C550" t="s">
        <v>30</v>
      </c>
      <c r="D550" t="s">
        <v>44</v>
      </c>
      <c r="E550" s="1">
        <v>46211</v>
      </c>
      <c r="F550">
        <v>514</v>
      </c>
      <c r="G550" t="s">
        <v>46</v>
      </c>
      <c r="H550">
        <v>180</v>
      </c>
      <c r="I550">
        <v>155</v>
      </c>
      <c r="J550">
        <v>1821332.36</v>
      </c>
      <c r="K550">
        <v>527004.53</v>
      </c>
      <c r="L550">
        <f t="shared" si="24"/>
        <v>1294327.83</v>
      </c>
      <c r="M550" t="str">
        <f t="shared" si="25"/>
        <v>2026-07</v>
      </c>
      <c r="N550">
        <f t="shared" si="26"/>
        <v>0.86111111111111116</v>
      </c>
    </row>
    <row r="551" spans="1:14">
      <c r="A551" t="s">
        <v>680</v>
      </c>
      <c r="B551" t="s">
        <v>277</v>
      </c>
      <c r="C551" t="s">
        <v>45</v>
      </c>
      <c r="D551" t="s">
        <v>69</v>
      </c>
      <c r="E551" s="1">
        <v>46303</v>
      </c>
      <c r="F551">
        <v>462</v>
      </c>
      <c r="G551" t="s">
        <v>31</v>
      </c>
      <c r="H551">
        <v>250</v>
      </c>
      <c r="I551">
        <v>128</v>
      </c>
      <c r="J551">
        <v>902364.74</v>
      </c>
      <c r="K551">
        <v>361847.43</v>
      </c>
      <c r="L551">
        <f t="shared" si="24"/>
        <v>540517.31000000006</v>
      </c>
      <c r="M551" t="str">
        <f t="shared" si="25"/>
        <v>2026-10</v>
      </c>
      <c r="N551">
        <f t="shared" si="26"/>
        <v>0.51200000000000001</v>
      </c>
    </row>
    <row r="552" spans="1:14">
      <c r="A552" t="s">
        <v>681</v>
      </c>
      <c r="B552" t="s">
        <v>379</v>
      </c>
      <c r="C552" t="s">
        <v>44</v>
      </c>
      <c r="D552" t="s">
        <v>30</v>
      </c>
      <c r="E552" s="1">
        <v>46262</v>
      </c>
      <c r="F552">
        <v>453</v>
      </c>
      <c r="G552" t="s">
        <v>31</v>
      </c>
      <c r="H552">
        <v>180</v>
      </c>
      <c r="I552">
        <v>71</v>
      </c>
      <c r="J552">
        <v>346434.12</v>
      </c>
      <c r="K552">
        <v>625596.42000000004</v>
      </c>
      <c r="L552">
        <f t="shared" si="24"/>
        <v>-279162.30000000005</v>
      </c>
      <c r="M552" t="str">
        <f t="shared" si="25"/>
        <v>2026-08</v>
      </c>
      <c r="N552">
        <f t="shared" si="26"/>
        <v>0.39444444444444443</v>
      </c>
    </row>
    <row r="553" spans="1:14">
      <c r="A553" t="s">
        <v>682</v>
      </c>
      <c r="B553" t="s">
        <v>210</v>
      </c>
      <c r="C553" t="s">
        <v>55</v>
      </c>
      <c r="D553" t="s">
        <v>69</v>
      </c>
      <c r="E553" s="1">
        <v>46280</v>
      </c>
      <c r="F553">
        <v>426</v>
      </c>
      <c r="G553" t="s">
        <v>46</v>
      </c>
      <c r="H553">
        <v>150</v>
      </c>
      <c r="I553">
        <v>146</v>
      </c>
      <c r="J553">
        <v>1901866.47</v>
      </c>
      <c r="K553">
        <v>574752.92000000004</v>
      </c>
      <c r="L553">
        <f t="shared" si="24"/>
        <v>1327113.5499999998</v>
      </c>
      <c r="M553" t="str">
        <f t="shared" si="25"/>
        <v>2026-09</v>
      </c>
      <c r="N553">
        <f t="shared" si="26"/>
        <v>0.97333333333333338</v>
      </c>
    </row>
    <row r="554" spans="1:14">
      <c r="A554" t="s">
        <v>683</v>
      </c>
      <c r="B554" t="s">
        <v>37</v>
      </c>
      <c r="C554" t="s">
        <v>30</v>
      </c>
      <c r="D554" t="s">
        <v>29</v>
      </c>
      <c r="E554" s="1">
        <v>46177</v>
      </c>
      <c r="F554">
        <v>316</v>
      </c>
      <c r="G554" t="s">
        <v>31</v>
      </c>
      <c r="H554">
        <v>300</v>
      </c>
      <c r="I554">
        <v>82</v>
      </c>
      <c r="J554">
        <v>683329.9</v>
      </c>
      <c r="K554">
        <v>339325.73</v>
      </c>
      <c r="L554">
        <f t="shared" si="24"/>
        <v>344004.17000000004</v>
      </c>
      <c r="M554" t="str">
        <f t="shared" si="25"/>
        <v>2026-06</v>
      </c>
      <c r="N554">
        <f t="shared" si="26"/>
        <v>0.27333333333333332</v>
      </c>
    </row>
    <row r="555" spans="1:14">
      <c r="A555" t="s">
        <v>684</v>
      </c>
      <c r="B555" t="s">
        <v>54</v>
      </c>
      <c r="C555" t="s">
        <v>52</v>
      </c>
      <c r="D555" t="s">
        <v>55</v>
      </c>
      <c r="E555" s="1">
        <v>46264</v>
      </c>
      <c r="F555">
        <v>258</v>
      </c>
      <c r="G555" t="s">
        <v>31</v>
      </c>
      <c r="H555">
        <v>150</v>
      </c>
      <c r="I555">
        <v>103</v>
      </c>
      <c r="J555">
        <v>1381969.33</v>
      </c>
      <c r="K555">
        <v>363153.87</v>
      </c>
      <c r="L555">
        <f t="shared" si="24"/>
        <v>1018815.4600000001</v>
      </c>
      <c r="M555" t="str">
        <f t="shared" si="25"/>
        <v>2026-08</v>
      </c>
      <c r="N555">
        <f t="shared" si="26"/>
        <v>0.68666666666666665</v>
      </c>
    </row>
    <row r="556" spans="1:14">
      <c r="A556" t="s">
        <v>685</v>
      </c>
      <c r="B556" t="s">
        <v>184</v>
      </c>
      <c r="C556" t="s">
        <v>29</v>
      </c>
      <c r="D556" t="s">
        <v>44</v>
      </c>
      <c r="E556" s="1">
        <v>46185</v>
      </c>
      <c r="F556">
        <v>361</v>
      </c>
      <c r="G556" t="s">
        <v>46</v>
      </c>
      <c r="H556">
        <v>300</v>
      </c>
      <c r="I556">
        <v>103</v>
      </c>
      <c r="J556">
        <v>931836.5</v>
      </c>
      <c r="K556">
        <v>333914.90000000002</v>
      </c>
      <c r="L556">
        <f t="shared" si="24"/>
        <v>597921.6</v>
      </c>
      <c r="M556" t="str">
        <f t="shared" si="25"/>
        <v>2026-06</v>
      </c>
      <c r="N556">
        <f t="shared" si="26"/>
        <v>0.34333333333333332</v>
      </c>
    </row>
    <row r="557" spans="1:14">
      <c r="A557" t="s">
        <v>686</v>
      </c>
      <c r="B557" t="s">
        <v>506</v>
      </c>
      <c r="C557" t="s">
        <v>55</v>
      </c>
      <c r="D557" t="s">
        <v>34</v>
      </c>
      <c r="E557" s="1">
        <v>46311</v>
      </c>
      <c r="F557">
        <v>503</v>
      </c>
      <c r="G557" t="s">
        <v>41</v>
      </c>
      <c r="H557">
        <v>150</v>
      </c>
      <c r="I557">
        <v>126</v>
      </c>
      <c r="J557">
        <v>1250706.25</v>
      </c>
      <c r="K557">
        <v>554562.23</v>
      </c>
      <c r="L557">
        <f t="shared" si="24"/>
        <v>696144.02</v>
      </c>
      <c r="M557" t="str">
        <f t="shared" si="25"/>
        <v>2026-10</v>
      </c>
      <c r="N557">
        <f t="shared" si="26"/>
        <v>0.84</v>
      </c>
    </row>
    <row r="558" spans="1:14">
      <c r="A558" t="s">
        <v>687</v>
      </c>
      <c r="B558" t="s">
        <v>107</v>
      </c>
      <c r="C558" t="s">
        <v>30</v>
      </c>
      <c r="D558" t="s">
        <v>45</v>
      </c>
      <c r="E558" s="1">
        <v>46032</v>
      </c>
      <c r="F558">
        <v>428</v>
      </c>
      <c r="G558" t="s">
        <v>41</v>
      </c>
      <c r="H558">
        <v>250</v>
      </c>
      <c r="I558">
        <v>188</v>
      </c>
      <c r="J558">
        <v>1616837.2</v>
      </c>
      <c r="K558">
        <v>354791.85</v>
      </c>
      <c r="L558">
        <f t="shared" si="24"/>
        <v>1262045.3500000001</v>
      </c>
      <c r="M558" t="str">
        <f t="shared" si="25"/>
        <v>2026-01</v>
      </c>
      <c r="N558">
        <f t="shared" si="26"/>
        <v>0.752</v>
      </c>
    </row>
    <row r="559" spans="1:14">
      <c r="A559" t="s">
        <v>688</v>
      </c>
      <c r="B559" t="s">
        <v>75</v>
      </c>
      <c r="C559" t="s">
        <v>55</v>
      </c>
      <c r="D559" t="s">
        <v>30</v>
      </c>
      <c r="E559" s="1">
        <v>46228</v>
      </c>
      <c r="F559">
        <v>419</v>
      </c>
      <c r="G559" t="s">
        <v>41</v>
      </c>
      <c r="H559">
        <v>300</v>
      </c>
      <c r="I559">
        <v>167</v>
      </c>
      <c r="J559">
        <v>1424267.19</v>
      </c>
      <c r="K559">
        <v>443465.88</v>
      </c>
      <c r="L559">
        <f t="shared" si="24"/>
        <v>980801.30999999994</v>
      </c>
      <c r="M559" t="str">
        <f t="shared" si="25"/>
        <v>2026-07</v>
      </c>
      <c r="N559">
        <f t="shared" si="26"/>
        <v>0.55666666666666664</v>
      </c>
    </row>
    <row r="560" spans="1:14">
      <c r="A560" t="s">
        <v>689</v>
      </c>
      <c r="B560" t="s">
        <v>379</v>
      </c>
      <c r="C560" t="s">
        <v>44</v>
      </c>
      <c r="D560" t="s">
        <v>30</v>
      </c>
      <c r="E560" s="1">
        <v>46247</v>
      </c>
      <c r="F560">
        <v>152</v>
      </c>
      <c r="G560" t="s">
        <v>35</v>
      </c>
      <c r="H560">
        <v>250</v>
      </c>
      <c r="I560">
        <v>152</v>
      </c>
      <c r="J560">
        <v>1401207.26</v>
      </c>
      <c r="K560">
        <v>204993.05</v>
      </c>
      <c r="L560">
        <f t="shared" si="24"/>
        <v>1196214.21</v>
      </c>
      <c r="M560" t="str">
        <f t="shared" si="25"/>
        <v>2026-08</v>
      </c>
      <c r="N560">
        <f t="shared" si="26"/>
        <v>0.60799999999999998</v>
      </c>
    </row>
    <row r="561" spans="1:14">
      <c r="A561" t="s">
        <v>690</v>
      </c>
      <c r="B561" t="s">
        <v>220</v>
      </c>
      <c r="C561" t="s">
        <v>34</v>
      </c>
      <c r="D561" t="s">
        <v>49</v>
      </c>
      <c r="E561" s="1">
        <v>46314</v>
      </c>
      <c r="F561">
        <v>404</v>
      </c>
      <c r="G561" t="s">
        <v>35</v>
      </c>
      <c r="H561">
        <v>300</v>
      </c>
      <c r="I561">
        <v>194</v>
      </c>
      <c r="J561">
        <v>1842837.64</v>
      </c>
      <c r="K561">
        <v>530001.03</v>
      </c>
      <c r="L561">
        <f t="shared" si="24"/>
        <v>1312836.6099999999</v>
      </c>
      <c r="M561" t="str">
        <f t="shared" si="25"/>
        <v>2026-10</v>
      </c>
      <c r="N561">
        <f t="shared" si="26"/>
        <v>0.64666666666666661</v>
      </c>
    </row>
    <row r="562" spans="1:14">
      <c r="A562" t="s">
        <v>691</v>
      </c>
      <c r="B562" t="s">
        <v>506</v>
      </c>
      <c r="C562" t="s">
        <v>55</v>
      </c>
      <c r="D562" t="s">
        <v>34</v>
      </c>
      <c r="E562" s="1">
        <v>46045</v>
      </c>
      <c r="F562">
        <v>329</v>
      </c>
      <c r="G562" t="s">
        <v>31</v>
      </c>
      <c r="H562">
        <v>150</v>
      </c>
      <c r="I562">
        <v>126</v>
      </c>
      <c r="J562">
        <v>1463769.83</v>
      </c>
      <c r="K562">
        <v>373408.84</v>
      </c>
      <c r="L562">
        <f t="shared" si="24"/>
        <v>1090360.99</v>
      </c>
      <c r="M562" t="str">
        <f t="shared" si="25"/>
        <v>2026-01</v>
      </c>
      <c r="N562">
        <f t="shared" si="26"/>
        <v>0.84</v>
      </c>
    </row>
    <row r="563" spans="1:14">
      <c r="A563" t="s">
        <v>692</v>
      </c>
      <c r="B563" t="s">
        <v>37</v>
      </c>
      <c r="C563" t="s">
        <v>30</v>
      </c>
      <c r="D563" t="s">
        <v>29</v>
      </c>
      <c r="E563" s="1">
        <v>46069</v>
      </c>
      <c r="F563">
        <v>481</v>
      </c>
      <c r="G563" t="s">
        <v>35</v>
      </c>
      <c r="H563">
        <v>250</v>
      </c>
      <c r="I563">
        <v>111</v>
      </c>
      <c r="J563">
        <v>1322191.1399999999</v>
      </c>
      <c r="K563">
        <v>459697.53</v>
      </c>
      <c r="L563">
        <f t="shared" si="24"/>
        <v>862493.60999999987</v>
      </c>
      <c r="M563" t="str">
        <f t="shared" si="25"/>
        <v>2026-02</v>
      </c>
      <c r="N563">
        <f t="shared" si="26"/>
        <v>0.44400000000000001</v>
      </c>
    </row>
    <row r="564" spans="1:14">
      <c r="A564" t="s">
        <v>693</v>
      </c>
      <c r="B564" t="s">
        <v>240</v>
      </c>
      <c r="C564" t="s">
        <v>55</v>
      </c>
      <c r="D564" t="s">
        <v>40</v>
      </c>
      <c r="E564" s="1">
        <v>46320</v>
      </c>
      <c r="F564">
        <v>263</v>
      </c>
      <c r="G564" t="s">
        <v>35</v>
      </c>
      <c r="H564">
        <v>180</v>
      </c>
      <c r="I564">
        <v>175</v>
      </c>
      <c r="J564">
        <v>2307991.89</v>
      </c>
      <c r="K564">
        <v>303175.18</v>
      </c>
      <c r="L564">
        <f t="shared" si="24"/>
        <v>2004816.7100000002</v>
      </c>
      <c r="M564" t="str">
        <f t="shared" si="25"/>
        <v>2026-10</v>
      </c>
      <c r="N564">
        <f t="shared" si="26"/>
        <v>0.97222222222222221</v>
      </c>
    </row>
    <row r="565" spans="1:14">
      <c r="A565" t="s">
        <v>694</v>
      </c>
      <c r="B565" t="s">
        <v>86</v>
      </c>
      <c r="C565" t="s">
        <v>45</v>
      </c>
      <c r="D565" t="s">
        <v>49</v>
      </c>
      <c r="E565" s="1">
        <v>46041</v>
      </c>
      <c r="F565">
        <v>435</v>
      </c>
      <c r="G565" t="s">
        <v>35</v>
      </c>
      <c r="H565">
        <v>300</v>
      </c>
      <c r="I565">
        <v>215</v>
      </c>
      <c r="J565">
        <v>1712430.88</v>
      </c>
      <c r="K565">
        <v>458621.14</v>
      </c>
      <c r="L565">
        <f t="shared" si="24"/>
        <v>1253809.7399999998</v>
      </c>
      <c r="M565" t="str">
        <f t="shared" si="25"/>
        <v>2026-01</v>
      </c>
      <c r="N565">
        <f t="shared" si="26"/>
        <v>0.71666666666666667</v>
      </c>
    </row>
    <row r="566" spans="1:14">
      <c r="A566" t="s">
        <v>695</v>
      </c>
      <c r="B566" t="s">
        <v>506</v>
      </c>
      <c r="C566" t="s">
        <v>55</v>
      </c>
      <c r="D566" t="s">
        <v>34</v>
      </c>
      <c r="E566" s="1">
        <v>46246</v>
      </c>
      <c r="F566">
        <v>577</v>
      </c>
      <c r="G566" t="s">
        <v>46</v>
      </c>
      <c r="H566">
        <v>300</v>
      </c>
      <c r="I566">
        <v>220</v>
      </c>
      <c r="J566">
        <v>1022480.91</v>
      </c>
      <c r="K566">
        <v>574350.04</v>
      </c>
      <c r="L566">
        <f t="shared" si="24"/>
        <v>448130.87</v>
      </c>
      <c r="M566" t="str">
        <f t="shared" si="25"/>
        <v>2026-08</v>
      </c>
      <c r="N566">
        <f t="shared" si="26"/>
        <v>0.73333333333333328</v>
      </c>
    </row>
    <row r="567" spans="1:14">
      <c r="A567" t="s">
        <v>696</v>
      </c>
      <c r="B567" t="s">
        <v>530</v>
      </c>
      <c r="C567" t="s">
        <v>34</v>
      </c>
      <c r="D567" t="s">
        <v>45</v>
      </c>
      <c r="E567" s="1">
        <v>46266</v>
      </c>
      <c r="F567">
        <v>145</v>
      </c>
      <c r="G567" t="s">
        <v>31</v>
      </c>
      <c r="H567">
        <v>250</v>
      </c>
      <c r="I567">
        <v>187</v>
      </c>
      <c r="J567">
        <v>2539389.7200000002</v>
      </c>
      <c r="K567">
        <v>249792.01</v>
      </c>
      <c r="L567">
        <f t="shared" si="24"/>
        <v>2289597.71</v>
      </c>
      <c r="M567" t="str">
        <f t="shared" si="25"/>
        <v>2026-09</v>
      </c>
      <c r="N567">
        <f t="shared" si="26"/>
        <v>0.748</v>
      </c>
    </row>
    <row r="568" spans="1:14">
      <c r="A568" t="s">
        <v>697</v>
      </c>
      <c r="B568" t="s">
        <v>39</v>
      </c>
      <c r="C568" t="s">
        <v>29</v>
      </c>
      <c r="D568" t="s">
        <v>40</v>
      </c>
      <c r="E568" s="1">
        <v>46068</v>
      </c>
      <c r="F568">
        <v>251</v>
      </c>
      <c r="G568" t="s">
        <v>35</v>
      </c>
      <c r="H568">
        <v>250</v>
      </c>
      <c r="I568">
        <v>69</v>
      </c>
      <c r="J568">
        <v>233898.9</v>
      </c>
      <c r="K568">
        <v>355090.14</v>
      </c>
      <c r="L568">
        <f t="shared" si="24"/>
        <v>-121191.24000000002</v>
      </c>
      <c r="M568" t="str">
        <f t="shared" si="25"/>
        <v>2026-02</v>
      </c>
      <c r="N568">
        <f t="shared" si="26"/>
        <v>0.27600000000000002</v>
      </c>
    </row>
    <row r="569" spans="1:14">
      <c r="A569" t="s">
        <v>698</v>
      </c>
      <c r="B569" t="s">
        <v>102</v>
      </c>
      <c r="C569" t="s">
        <v>45</v>
      </c>
      <c r="D569" t="s">
        <v>55</v>
      </c>
      <c r="E569" s="1">
        <v>46135</v>
      </c>
      <c r="F569">
        <v>377</v>
      </c>
      <c r="G569" t="s">
        <v>31</v>
      </c>
      <c r="H569">
        <v>180</v>
      </c>
      <c r="I569">
        <v>105</v>
      </c>
      <c r="J569">
        <v>555965.07999999996</v>
      </c>
      <c r="K569">
        <v>440911.69</v>
      </c>
      <c r="L569">
        <f t="shared" si="24"/>
        <v>115053.38999999996</v>
      </c>
      <c r="M569" t="str">
        <f t="shared" si="25"/>
        <v>2026-04</v>
      </c>
      <c r="N569">
        <f t="shared" si="26"/>
        <v>0.58333333333333337</v>
      </c>
    </row>
    <row r="570" spans="1:14">
      <c r="A570" t="s">
        <v>699</v>
      </c>
      <c r="B570" t="s">
        <v>260</v>
      </c>
      <c r="C570" t="s">
        <v>69</v>
      </c>
      <c r="D570" t="s">
        <v>29</v>
      </c>
      <c r="E570" s="1">
        <v>46067</v>
      </c>
      <c r="F570">
        <v>167</v>
      </c>
      <c r="G570" t="s">
        <v>31</v>
      </c>
      <c r="H570">
        <v>250</v>
      </c>
      <c r="I570">
        <v>111</v>
      </c>
      <c r="J570">
        <v>1577131.94</v>
      </c>
      <c r="K570">
        <v>298086.46000000002</v>
      </c>
      <c r="L570">
        <f t="shared" si="24"/>
        <v>1279045.48</v>
      </c>
      <c r="M570" t="str">
        <f t="shared" si="25"/>
        <v>2026-02</v>
      </c>
      <c r="N570">
        <f t="shared" si="26"/>
        <v>0.44400000000000001</v>
      </c>
    </row>
    <row r="571" spans="1:14">
      <c r="A571" t="s">
        <v>700</v>
      </c>
      <c r="B571" t="s">
        <v>210</v>
      </c>
      <c r="C571" t="s">
        <v>55</v>
      </c>
      <c r="D571" t="s">
        <v>69</v>
      </c>
      <c r="E571" s="1">
        <v>46254</v>
      </c>
      <c r="F571">
        <v>263</v>
      </c>
      <c r="G571" t="s">
        <v>41</v>
      </c>
      <c r="H571">
        <v>300</v>
      </c>
      <c r="I571">
        <v>68</v>
      </c>
      <c r="J571">
        <v>717975.88</v>
      </c>
      <c r="K571">
        <v>347737.23</v>
      </c>
      <c r="L571">
        <f t="shared" si="24"/>
        <v>370238.65</v>
      </c>
      <c r="M571" t="str">
        <f t="shared" si="25"/>
        <v>2026-08</v>
      </c>
      <c r="N571">
        <f t="shared" si="26"/>
        <v>0.22666666666666666</v>
      </c>
    </row>
    <row r="572" spans="1:14">
      <c r="A572" t="s">
        <v>701</v>
      </c>
      <c r="B572" t="s">
        <v>77</v>
      </c>
      <c r="C572" t="s">
        <v>45</v>
      </c>
      <c r="D572" t="s">
        <v>29</v>
      </c>
      <c r="E572" s="1">
        <v>46259</v>
      </c>
      <c r="F572">
        <v>197</v>
      </c>
      <c r="G572" t="s">
        <v>31</v>
      </c>
      <c r="H572">
        <v>180</v>
      </c>
      <c r="I572">
        <v>104</v>
      </c>
      <c r="J572">
        <v>583689.35</v>
      </c>
      <c r="K572">
        <v>321714.36</v>
      </c>
      <c r="L572">
        <f t="shared" si="24"/>
        <v>261974.99</v>
      </c>
      <c r="M572" t="str">
        <f t="shared" si="25"/>
        <v>2026-08</v>
      </c>
      <c r="N572">
        <f t="shared" si="26"/>
        <v>0.57777777777777772</v>
      </c>
    </row>
    <row r="573" spans="1:14">
      <c r="A573" t="s">
        <v>702</v>
      </c>
      <c r="B573" t="s">
        <v>81</v>
      </c>
      <c r="C573" t="s">
        <v>34</v>
      </c>
      <c r="D573" t="s">
        <v>69</v>
      </c>
      <c r="E573" s="1">
        <v>46247</v>
      </c>
      <c r="F573">
        <v>70</v>
      </c>
      <c r="G573" t="s">
        <v>41</v>
      </c>
      <c r="H573">
        <v>300</v>
      </c>
      <c r="I573">
        <v>84</v>
      </c>
      <c r="J573">
        <v>1066086.8799999999</v>
      </c>
      <c r="K573">
        <v>222802.19</v>
      </c>
      <c r="L573">
        <f t="shared" si="24"/>
        <v>843284.69</v>
      </c>
      <c r="M573" t="str">
        <f t="shared" si="25"/>
        <v>2026-08</v>
      </c>
      <c r="N573">
        <f t="shared" si="26"/>
        <v>0.28000000000000003</v>
      </c>
    </row>
    <row r="574" spans="1:14">
      <c r="A574" t="s">
        <v>703</v>
      </c>
      <c r="B574" t="s">
        <v>414</v>
      </c>
      <c r="C574" t="s">
        <v>40</v>
      </c>
      <c r="D574" t="s">
        <v>52</v>
      </c>
      <c r="E574" s="1">
        <v>46181</v>
      </c>
      <c r="F574">
        <v>187</v>
      </c>
      <c r="G574" t="s">
        <v>46</v>
      </c>
      <c r="H574">
        <v>150</v>
      </c>
      <c r="I574">
        <v>80</v>
      </c>
      <c r="J574">
        <v>938076.3</v>
      </c>
      <c r="K574">
        <v>296881.64</v>
      </c>
      <c r="L574">
        <f t="shared" si="24"/>
        <v>641194.66</v>
      </c>
      <c r="M574" t="str">
        <f t="shared" si="25"/>
        <v>2026-06</v>
      </c>
      <c r="N574">
        <f t="shared" si="26"/>
        <v>0.53333333333333333</v>
      </c>
    </row>
    <row r="575" spans="1:14">
      <c r="A575" t="s">
        <v>704</v>
      </c>
      <c r="B575" t="s">
        <v>62</v>
      </c>
      <c r="C575" t="s">
        <v>52</v>
      </c>
      <c r="D575" t="s">
        <v>40</v>
      </c>
      <c r="E575" s="1">
        <v>46315</v>
      </c>
      <c r="F575">
        <v>464</v>
      </c>
      <c r="G575" t="s">
        <v>35</v>
      </c>
      <c r="H575">
        <v>300</v>
      </c>
      <c r="I575">
        <v>68</v>
      </c>
      <c r="J575">
        <v>269294.90999999997</v>
      </c>
      <c r="K575">
        <v>498754.11</v>
      </c>
      <c r="L575">
        <f t="shared" si="24"/>
        <v>-229459.20000000001</v>
      </c>
      <c r="M575" t="str">
        <f t="shared" si="25"/>
        <v>2026-10</v>
      </c>
      <c r="N575">
        <f t="shared" si="26"/>
        <v>0.22666666666666666</v>
      </c>
    </row>
    <row r="576" spans="1:14">
      <c r="A576" t="s">
        <v>705</v>
      </c>
      <c r="B576" t="s">
        <v>48</v>
      </c>
      <c r="C576" t="s">
        <v>49</v>
      </c>
      <c r="D576" t="s">
        <v>40</v>
      </c>
      <c r="E576" s="1">
        <v>46125</v>
      </c>
      <c r="F576">
        <v>385</v>
      </c>
      <c r="G576" t="s">
        <v>31</v>
      </c>
      <c r="H576">
        <v>150</v>
      </c>
      <c r="I576">
        <v>115</v>
      </c>
      <c r="J576">
        <v>1182622.8999999999</v>
      </c>
      <c r="K576">
        <v>318300.71000000002</v>
      </c>
      <c r="L576">
        <f t="shared" si="24"/>
        <v>864322.19</v>
      </c>
      <c r="M576" t="str">
        <f t="shared" si="25"/>
        <v>2026-04</v>
      </c>
      <c r="N576">
        <f t="shared" si="26"/>
        <v>0.76666666666666672</v>
      </c>
    </row>
    <row r="577" spans="1:14">
      <c r="A577" t="s">
        <v>706</v>
      </c>
      <c r="B577" t="s">
        <v>302</v>
      </c>
      <c r="C577" t="s">
        <v>30</v>
      </c>
      <c r="D577" t="s">
        <v>34</v>
      </c>
      <c r="E577" s="1">
        <v>46215</v>
      </c>
      <c r="F577">
        <v>589</v>
      </c>
      <c r="G577" t="s">
        <v>46</v>
      </c>
      <c r="H577">
        <v>300</v>
      </c>
      <c r="I577">
        <v>188</v>
      </c>
      <c r="J577">
        <v>1317740.1000000001</v>
      </c>
      <c r="K577">
        <v>659650.87</v>
      </c>
      <c r="L577">
        <f t="shared" si="24"/>
        <v>658089.2300000001</v>
      </c>
      <c r="M577" t="str">
        <f t="shared" si="25"/>
        <v>2026-07</v>
      </c>
      <c r="N577">
        <f t="shared" si="26"/>
        <v>0.62666666666666671</v>
      </c>
    </row>
    <row r="578" spans="1:14">
      <c r="A578" t="s">
        <v>707</v>
      </c>
      <c r="B578" t="s">
        <v>127</v>
      </c>
      <c r="C578" t="s">
        <v>40</v>
      </c>
      <c r="D578" t="s">
        <v>55</v>
      </c>
      <c r="E578" s="1">
        <v>46115</v>
      </c>
      <c r="F578">
        <v>568</v>
      </c>
      <c r="G578" t="s">
        <v>41</v>
      </c>
      <c r="H578">
        <v>180</v>
      </c>
      <c r="I578">
        <v>135</v>
      </c>
      <c r="J578">
        <v>655843.06000000006</v>
      </c>
      <c r="K578">
        <v>515622.71</v>
      </c>
      <c r="L578">
        <f t="shared" si="24"/>
        <v>140220.35000000003</v>
      </c>
      <c r="M578" t="str">
        <f t="shared" si="25"/>
        <v>2026-04</v>
      </c>
      <c r="N578">
        <f t="shared" si="26"/>
        <v>0.75</v>
      </c>
    </row>
    <row r="579" spans="1:14">
      <c r="A579" t="s">
        <v>708</v>
      </c>
      <c r="B579" t="s">
        <v>68</v>
      </c>
      <c r="C579" t="s">
        <v>69</v>
      </c>
      <c r="D579" t="s">
        <v>45</v>
      </c>
      <c r="E579" s="1">
        <v>46183</v>
      </c>
      <c r="F579">
        <v>329</v>
      </c>
      <c r="G579" t="s">
        <v>35</v>
      </c>
      <c r="H579">
        <v>300</v>
      </c>
      <c r="I579">
        <v>130</v>
      </c>
      <c r="J579">
        <v>511491.22</v>
      </c>
      <c r="K579">
        <v>477276.87</v>
      </c>
      <c r="L579">
        <f t="shared" ref="L579:L642" si="27">J579-K579</f>
        <v>34214.349999999977</v>
      </c>
      <c r="M579" t="str">
        <f t="shared" ref="M579:M642" si="28">TEXT(E579,"YYYY-MM")</f>
        <v>2026-06</v>
      </c>
      <c r="N579">
        <f t="shared" ref="N579:N642" si="29">I579/H579</f>
        <v>0.43333333333333335</v>
      </c>
    </row>
    <row r="580" spans="1:14">
      <c r="A580" t="s">
        <v>709</v>
      </c>
      <c r="B580" t="s">
        <v>129</v>
      </c>
      <c r="C580" t="s">
        <v>45</v>
      </c>
      <c r="D580" t="s">
        <v>30</v>
      </c>
      <c r="E580" s="1">
        <v>46101</v>
      </c>
      <c r="F580">
        <v>261</v>
      </c>
      <c r="G580" t="s">
        <v>46</v>
      </c>
      <c r="H580">
        <v>180</v>
      </c>
      <c r="I580">
        <v>95</v>
      </c>
      <c r="J580">
        <v>672249.59</v>
      </c>
      <c r="K580">
        <v>351864.85</v>
      </c>
      <c r="L580">
        <f t="shared" si="27"/>
        <v>320384.74</v>
      </c>
      <c r="M580" t="str">
        <f t="shared" si="28"/>
        <v>2026-03</v>
      </c>
      <c r="N580">
        <f t="shared" si="29"/>
        <v>0.52777777777777779</v>
      </c>
    </row>
    <row r="581" spans="1:14">
      <c r="A581" t="s">
        <v>710</v>
      </c>
      <c r="B581" t="s">
        <v>186</v>
      </c>
      <c r="C581" t="s">
        <v>49</v>
      </c>
      <c r="D581" t="s">
        <v>30</v>
      </c>
      <c r="E581" s="1">
        <v>46070</v>
      </c>
      <c r="F581">
        <v>521</v>
      </c>
      <c r="G581" t="s">
        <v>35</v>
      </c>
      <c r="H581">
        <v>300</v>
      </c>
      <c r="I581">
        <v>221</v>
      </c>
      <c r="J581">
        <v>3104846.11</v>
      </c>
      <c r="K581">
        <v>622605.44999999995</v>
      </c>
      <c r="L581">
        <f t="shared" si="27"/>
        <v>2482240.66</v>
      </c>
      <c r="M581" t="str">
        <f t="shared" si="28"/>
        <v>2026-02</v>
      </c>
      <c r="N581">
        <f t="shared" si="29"/>
        <v>0.73666666666666669</v>
      </c>
    </row>
    <row r="582" spans="1:14">
      <c r="A582" t="s">
        <v>711</v>
      </c>
      <c r="B582" t="s">
        <v>28</v>
      </c>
      <c r="C582" t="s">
        <v>29</v>
      </c>
      <c r="D582" t="s">
        <v>30</v>
      </c>
      <c r="E582" s="1">
        <v>46224</v>
      </c>
      <c r="F582">
        <v>389</v>
      </c>
      <c r="G582" t="s">
        <v>31</v>
      </c>
      <c r="H582">
        <v>300</v>
      </c>
      <c r="I582">
        <v>247</v>
      </c>
      <c r="J582">
        <v>3407416.16</v>
      </c>
      <c r="K582">
        <v>557420.24</v>
      </c>
      <c r="L582">
        <f t="shared" si="27"/>
        <v>2849995.92</v>
      </c>
      <c r="M582" t="str">
        <f t="shared" si="28"/>
        <v>2026-07</v>
      </c>
      <c r="N582">
        <f t="shared" si="29"/>
        <v>0.82333333333333336</v>
      </c>
    </row>
    <row r="583" spans="1:14">
      <c r="A583" t="s">
        <v>712</v>
      </c>
      <c r="B583" t="s">
        <v>173</v>
      </c>
      <c r="C583" t="s">
        <v>40</v>
      </c>
      <c r="D583" t="s">
        <v>49</v>
      </c>
      <c r="E583" s="1">
        <v>46044</v>
      </c>
      <c r="F583">
        <v>184</v>
      </c>
      <c r="G583" t="s">
        <v>31</v>
      </c>
      <c r="H583">
        <v>180</v>
      </c>
      <c r="I583">
        <v>100</v>
      </c>
      <c r="J583">
        <v>666842.56000000006</v>
      </c>
      <c r="K583">
        <v>249555.67</v>
      </c>
      <c r="L583">
        <f t="shared" si="27"/>
        <v>417286.89</v>
      </c>
      <c r="M583" t="str">
        <f t="shared" si="28"/>
        <v>2026-01</v>
      </c>
      <c r="N583">
        <f t="shared" si="29"/>
        <v>0.55555555555555558</v>
      </c>
    </row>
    <row r="584" spans="1:14">
      <c r="A584" t="s">
        <v>713</v>
      </c>
      <c r="B584" t="s">
        <v>39</v>
      </c>
      <c r="C584" t="s">
        <v>29</v>
      </c>
      <c r="D584" t="s">
        <v>40</v>
      </c>
      <c r="E584" s="1">
        <v>46289</v>
      </c>
      <c r="F584">
        <v>327</v>
      </c>
      <c r="G584" t="s">
        <v>46</v>
      </c>
      <c r="H584">
        <v>180</v>
      </c>
      <c r="I584">
        <v>88</v>
      </c>
      <c r="J584">
        <v>726645.9</v>
      </c>
      <c r="K584">
        <v>440691.77</v>
      </c>
      <c r="L584">
        <f t="shared" si="27"/>
        <v>285954.13</v>
      </c>
      <c r="M584" t="str">
        <f t="shared" si="28"/>
        <v>2026-09</v>
      </c>
      <c r="N584">
        <f t="shared" si="29"/>
        <v>0.48888888888888887</v>
      </c>
    </row>
    <row r="585" spans="1:14">
      <c r="A585" t="s">
        <v>714</v>
      </c>
      <c r="B585" t="s">
        <v>230</v>
      </c>
      <c r="C585" t="s">
        <v>49</v>
      </c>
      <c r="D585" t="s">
        <v>34</v>
      </c>
      <c r="E585" s="1">
        <v>46252</v>
      </c>
      <c r="F585">
        <v>330</v>
      </c>
      <c r="G585" t="s">
        <v>31</v>
      </c>
      <c r="H585">
        <v>250</v>
      </c>
      <c r="I585">
        <v>208</v>
      </c>
      <c r="J585">
        <v>2364829.7799999998</v>
      </c>
      <c r="K585">
        <v>310904.65000000002</v>
      </c>
      <c r="L585">
        <f t="shared" si="27"/>
        <v>2053925.13</v>
      </c>
      <c r="M585" t="str">
        <f t="shared" si="28"/>
        <v>2026-08</v>
      </c>
      <c r="N585">
        <f t="shared" si="29"/>
        <v>0.83199999999999996</v>
      </c>
    </row>
    <row r="586" spans="1:14">
      <c r="A586" t="s">
        <v>715</v>
      </c>
      <c r="B586" t="s">
        <v>127</v>
      </c>
      <c r="C586" t="s">
        <v>40</v>
      </c>
      <c r="D586" t="s">
        <v>55</v>
      </c>
      <c r="E586" s="1">
        <v>46104</v>
      </c>
      <c r="F586">
        <v>431</v>
      </c>
      <c r="G586" t="s">
        <v>41</v>
      </c>
      <c r="H586">
        <v>300</v>
      </c>
      <c r="I586">
        <v>51</v>
      </c>
      <c r="J586">
        <v>299494.34000000003</v>
      </c>
      <c r="K586">
        <v>491601.1</v>
      </c>
      <c r="L586">
        <f t="shared" si="27"/>
        <v>-192106.75999999995</v>
      </c>
      <c r="M586" t="str">
        <f t="shared" si="28"/>
        <v>2026-03</v>
      </c>
      <c r="N586">
        <f t="shared" si="29"/>
        <v>0.17</v>
      </c>
    </row>
    <row r="587" spans="1:14">
      <c r="A587" t="s">
        <v>716</v>
      </c>
      <c r="B587" t="s">
        <v>407</v>
      </c>
      <c r="C587" t="s">
        <v>49</v>
      </c>
      <c r="D587" t="s">
        <v>29</v>
      </c>
      <c r="E587" s="1">
        <v>46279</v>
      </c>
      <c r="F587">
        <v>526</v>
      </c>
      <c r="G587" t="s">
        <v>46</v>
      </c>
      <c r="H587">
        <v>150</v>
      </c>
      <c r="I587">
        <v>69</v>
      </c>
      <c r="J587">
        <v>866059.09</v>
      </c>
      <c r="K587">
        <v>450579.41</v>
      </c>
      <c r="L587">
        <f t="shared" si="27"/>
        <v>415479.68</v>
      </c>
      <c r="M587" t="str">
        <f t="shared" si="28"/>
        <v>2026-09</v>
      </c>
      <c r="N587">
        <f t="shared" si="29"/>
        <v>0.46</v>
      </c>
    </row>
    <row r="588" spans="1:14">
      <c r="A588" t="s">
        <v>717</v>
      </c>
      <c r="B588" t="s">
        <v>506</v>
      </c>
      <c r="C588" t="s">
        <v>55</v>
      </c>
      <c r="D588" t="s">
        <v>34</v>
      </c>
      <c r="E588" s="1">
        <v>46225</v>
      </c>
      <c r="F588">
        <v>83</v>
      </c>
      <c r="G588" t="s">
        <v>35</v>
      </c>
      <c r="H588">
        <v>250</v>
      </c>
      <c r="I588">
        <v>104</v>
      </c>
      <c r="J588">
        <v>1383713.72</v>
      </c>
      <c r="K588">
        <v>203322.81</v>
      </c>
      <c r="L588">
        <f t="shared" si="27"/>
        <v>1180390.9099999999</v>
      </c>
      <c r="M588" t="str">
        <f t="shared" si="28"/>
        <v>2026-07</v>
      </c>
      <c r="N588">
        <f t="shared" si="29"/>
        <v>0.41599999999999998</v>
      </c>
    </row>
    <row r="589" spans="1:14">
      <c r="A589" t="s">
        <v>718</v>
      </c>
      <c r="B589" t="s">
        <v>86</v>
      </c>
      <c r="C589" t="s">
        <v>45</v>
      </c>
      <c r="D589" t="s">
        <v>49</v>
      </c>
      <c r="E589" s="1">
        <v>46185</v>
      </c>
      <c r="F589">
        <v>224</v>
      </c>
      <c r="G589" t="s">
        <v>41</v>
      </c>
      <c r="H589">
        <v>180</v>
      </c>
      <c r="I589">
        <v>103</v>
      </c>
      <c r="J589">
        <v>769604.21</v>
      </c>
      <c r="K589">
        <v>257148.1</v>
      </c>
      <c r="L589">
        <f t="shared" si="27"/>
        <v>512456.11</v>
      </c>
      <c r="M589" t="str">
        <f t="shared" si="28"/>
        <v>2026-06</v>
      </c>
      <c r="N589">
        <f t="shared" si="29"/>
        <v>0.57222222222222219</v>
      </c>
    </row>
    <row r="590" spans="1:14">
      <c r="A590" t="s">
        <v>719</v>
      </c>
      <c r="B590" t="s">
        <v>113</v>
      </c>
      <c r="C590" t="s">
        <v>44</v>
      </c>
      <c r="D590" t="s">
        <v>55</v>
      </c>
      <c r="E590" s="1">
        <v>46310</v>
      </c>
      <c r="F590">
        <v>485</v>
      </c>
      <c r="G590" t="s">
        <v>35</v>
      </c>
      <c r="H590">
        <v>180</v>
      </c>
      <c r="I590">
        <v>164</v>
      </c>
      <c r="J590">
        <v>1198253.58</v>
      </c>
      <c r="K590">
        <v>539609.72</v>
      </c>
      <c r="L590">
        <f t="shared" si="27"/>
        <v>658643.8600000001</v>
      </c>
      <c r="M590" t="str">
        <f t="shared" si="28"/>
        <v>2026-10</v>
      </c>
      <c r="N590">
        <f t="shared" si="29"/>
        <v>0.91111111111111109</v>
      </c>
    </row>
    <row r="591" spans="1:14">
      <c r="A591" t="s">
        <v>720</v>
      </c>
      <c r="B591" t="s">
        <v>102</v>
      </c>
      <c r="C591" t="s">
        <v>45</v>
      </c>
      <c r="D591" t="s">
        <v>55</v>
      </c>
      <c r="E591" s="1">
        <v>46132</v>
      </c>
      <c r="F591">
        <v>399</v>
      </c>
      <c r="G591" t="s">
        <v>41</v>
      </c>
      <c r="H591">
        <v>250</v>
      </c>
      <c r="I591">
        <v>149</v>
      </c>
      <c r="J591">
        <v>853451.86</v>
      </c>
      <c r="K591">
        <v>419248.99</v>
      </c>
      <c r="L591">
        <f t="shared" si="27"/>
        <v>434202.87</v>
      </c>
      <c r="M591" t="str">
        <f t="shared" si="28"/>
        <v>2026-04</v>
      </c>
      <c r="N591">
        <f t="shared" si="29"/>
        <v>0.59599999999999997</v>
      </c>
    </row>
    <row r="592" spans="1:14">
      <c r="A592" t="s">
        <v>721</v>
      </c>
      <c r="B592" t="s">
        <v>88</v>
      </c>
      <c r="C592" t="s">
        <v>55</v>
      </c>
      <c r="D592" t="s">
        <v>44</v>
      </c>
      <c r="E592" s="1">
        <v>46223</v>
      </c>
      <c r="F592">
        <v>107</v>
      </c>
      <c r="G592" t="s">
        <v>46</v>
      </c>
      <c r="H592">
        <v>250</v>
      </c>
      <c r="I592">
        <v>56</v>
      </c>
      <c r="J592">
        <v>482900.42</v>
      </c>
      <c r="K592">
        <v>222788.46</v>
      </c>
      <c r="L592">
        <f t="shared" si="27"/>
        <v>260111.96</v>
      </c>
      <c r="M592" t="str">
        <f t="shared" si="28"/>
        <v>2026-07</v>
      </c>
      <c r="N592">
        <f t="shared" si="29"/>
        <v>0.224</v>
      </c>
    </row>
    <row r="593" spans="1:14">
      <c r="A593" t="s">
        <v>722</v>
      </c>
      <c r="B593" t="s">
        <v>90</v>
      </c>
      <c r="C593" t="s">
        <v>40</v>
      </c>
      <c r="D593" t="s">
        <v>30</v>
      </c>
      <c r="E593" s="1">
        <v>46240</v>
      </c>
      <c r="F593">
        <v>273</v>
      </c>
      <c r="G593" t="s">
        <v>46</v>
      </c>
      <c r="H593">
        <v>300</v>
      </c>
      <c r="I593">
        <v>238</v>
      </c>
      <c r="J593">
        <v>2283899.2599999998</v>
      </c>
      <c r="K593">
        <v>450418.73</v>
      </c>
      <c r="L593">
        <f t="shared" si="27"/>
        <v>1833480.5299999998</v>
      </c>
      <c r="M593" t="str">
        <f t="shared" si="28"/>
        <v>2026-08</v>
      </c>
      <c r="N593">
        <f t="shared" si="29"/>
        <v>0.79333333333333333</v>
      </c>
    </row>
    <row r="594" spans="1:14">
      <c r="A594" t="s">
        <v>723</v>
      </c>
      <c r="B594" t="s">
        <v>62</v>
      </c>
      <c r="C594" t="s">
        <v>52</v>
      </c>
      <c r="D594" t="s">
        <v>40</v>
      </c>
      <c r="E594" s="1">
        <v>46275</v>
      </c>
      <c r="F594">
        <v>235</v>
      </c>
      <c r="G594" t="s">
        <v>41</v>
      </c>
      <c r="H594">
        <v>180</v>
      </c>
      <c r="I594">
        <v>77</v>
      </c>
      <c r="J594">
        <v>821709.02</v>
      </c>
      <c r="K594">
        <v>347895.08</v>
      </c>
      <c r="L594">
        <f t="shared" si="27"/>
        <v>473813.94</v>
      </c>
      <c r="M594" t="str">
        <f t="shared" si="28"/>
        <v>2026-09</v>
      </c>
      <c r="N594">
        <f t="shared" si="29"/>
        <v>0.42777777777777776</v>
      </c>
    </row>
    <row r="595" spans="1:14">
      <c r="A595" t="s">
        <v>724</v>
      </c>
      <c r="B595" t="s">
        <v>414</v>
      </c>
      <c r="C595" t="s">
        <v>40</v>
      </c>
      <c r="D595" t="s">
        <v>52</v>
      </c>
      <c r="E595" s="1">
        <v>46127</v>
      </c>
      <c r="F595">
        <v>565</v>
      </c>
      <c r="G595" t="s">
        <v>46</v>
      </c>
      <c r="H595">
        <v>300</v>
      </c>
      <c r="I595">
        <v>90</v>
      </c>
      <c r="J595">
        <v>904335.61</v>
      </c>
      <c r="K595">
        <v>501400.32000000001</v>
      </c>
      <c r="L595">
        <f t="shared" si="27"/>
        <v>402935.29</v>
      </c>
      <c r="M595" t="str">
        <f t="shared" si="28"/>
        <v>2026-04</v>
      </c>
      <c r="N595">
        <f t="shared" si="29"/>
        <v>0.3</v>
      </c>
    </row>
    <row r="596" spans="1:14">
      <c r="A596" t="s">
        <v>725</v>
      </c>
      <c r="B596" t="s">
        <v>98</v>
      </c>
      <c r="C596" t="s">
        <v>40</v>
      </c>
      <c r="D596" t="s">
        <v>34</v>
      </c>
      <c r="E596" s="1">
        <v>46247</v>
      </c>
      <c r="F596">
        <v>346</v>
      </c>
      <c r="G596" t="s">
        <v>46</v>
      </c>
      <c r="H596">
        <v>150</v>
      </c>
      <c r="I596">
        <v>111</v>
      </c>
      <c r="J596">
        <v>1539468.05</v>
      </c>
      <c r="K596">
        <v>484166.11</v>
      </c>
      <c r="L596">
        <f t="shared" si="27"/>
        <v>1055301.94</v>
      </c>
      <c r="M596" t="str">
        <f t="shared" si="28"/>
        <v>2026-08</v>
      </c>
      <c r="N596">
        <f t="shared" si="29"/>
        <v>0.74</v>
      </c>
    </row>
    <row r="597" spans="1:14">
      <c r="A597" t="s">
        <v>726</v>
      </c>
      <c r="B597" t="s">
        <v>60</v>
      </c>
      <c r="C597" t="s">
        <v>44</v>
      </c>
      <c r="D597" t="s">
        <v>34</v>
      </c>
      <c r="E597" s="1">
        <v>46226</v>
      </c>
      <c r="F597">
        <v>163</v>
      </c>
      <c r="G597" t="s">
        <v>46</v>
      </c>
      <c r="H597">
        <v>180</v>
      </c>
      <c r="I597">
        <v>150</v>
      </c>
      <c r="J597">
        <v>1266149.22</v>
      </c>
      <c r="K597">
        <v>284376.84000000003</v>
      </c>
      <c r="L597">
        <f t="shared" si="27"/>
        <v>981772.37999999989</v>
      </c>
      <c r="M597" t="str">
        <f t="shared" si="28"/>
        <v>2026-07</v>
      </c>
      <c r="N597">
        <f t="shared" si="29"/>
        <v>0.83333333333333337</v>
      </c>
    </row>
    <row r="598" spans="1:14">
      <c r="A598" t="s">
        <v>727</v>
      </c>
      <c r="B598" t="s">
        <v>48</v>
      </c>
      <c r="C598" t="s">
        <v>49</v>
      </c>
      <c r="D598" t="s">
        <v>40</v>
      </c>
      <c r="E598" s="1">
        <v>46160</v>
      </c>
      <c r="F598">
        <v>402</v>
      </c>
      <c r="G598" t="s">
        <v>41</v>
      </c>
      <c r="H598">
        <v>180</v>
      </c>
      <c r="I598">
        <v>173</v>
      </c>
      <c r="J598">
        <v>2308263.5699999998</v>
      </c>
      <c r="K598">
        <v>449789.38</v>
      </c>
      <c r="L598">
        <f t="shared" si="27"/>
        <v>1858474.19</v>
      </c>
      <c r="M598" t="str">
        <f t="shared" si="28"/>
        <v>2026-05</v>
      </c>
      <c r="N598">
        <f t="shared" si="29"/>
        <v>0.96111111111111114</v>
      </c>
    </row>
    <row r="599" spans="1:14">
      <c r="A599" t="s">
        <v>728</v>
      </c>
      <c r="B599" t="s">
        <v>83</v>
      </c>
      <c r="C599" t="s">
        <v>30</v>
      </c>
      <c r="D599" t="s">
        <v>40</v>
      </c>
      <c r="E599" s="1">
        <v>46050</v>
      </c>
      <c r="F599">
        <v>594</v>
      </c>
      <c r="G599" t="s">
        <v>35</v>
      </c>
      <c r="H599">
        <v>150</v>
      </c>
      <c r="I599">
        <v>66</v>
      </c>
      <c r="J599">
        <v>615239.19999999995</v>
      </c>
      <c r="K599">
        <v>395741.8</v>
      </c>
      <c r="L599">
        <f t="shared" si="27"/>
        <v>219497.39999999997</v>
      </c>
      <c r="M599" t="str">
        <f t="shared" si="28"/>
        <v>2026-01</v>
      </c>
      <c r="N599">
        <f t="shared" si="29"/>
        <v>0.44</v>
      </c>
    </row>
    <row r="600" spans="1:14">
      <c r="A600" t="s">
        <v>729</v>
      </c>
      <c r="B600" t="s">
        <v>66</v>
      </c>
      <c r="C600" t="s">
        <v>49</v>
      </c>
      <c r="D600" t="s">
        <v>45</v>
      </c>
      <c r="E600" s="1">
        <v>46219</v>
      </c>
      <c r="F600">
        <v>538</v>
      </c>
      <c r="G600" t="s">
        <v>41</v>
      </c>
      <c r="H600">
        <v>250</v>
      </c>
      <c r="I600">
        <v>69</v>
      </c>
      <c r="J600">
        <v>875640.02</v>
      </c>
      <c r="K600">
        <v>585570.38</v>
      </c>
      <c r="L600">
        <f t="shared" si="27"/>
        <v>290069.64</v>
      </c>
      <c r="M600" t="str">
        <f t="shared" si="28"/>
        <v>2026-07</v>
      </c>
      <c r="N600">
        <f t="shared" si="29"/>
        <v>0.27600000000000002</v>
      </c>
    </row>
    <row r="601" spans="1:14">
      <c r="A601" t="s">
        <v>730</v>
      </c>
      <c r="B601" t="s">
        <v>307</v>
      </c>
      <c r="C601" t="s">
        <v>40</v>
      </c>
      <c r="D601" t="s">
        <v>45</v>
      </c>
      <c r="E601" s="1">
        <v>46237</v>
      </c>
      <c r="F601">
        <v>519</v>
      </c>
      <c r="G601" t="s">
        <v>46</v>
      </c>
      <c r="H601">
        <v>180</v>
      </c>
      <c r="I601">
        <v>92</v>
      </c>
      <c r="J601">
        <v>1126332.56</v>
      </c>
      <c r="K601">
        <v>621139.6</v>
      </c>
      <c r="L601">
        <f t="shared" si="27"/>
        <v>505192.96000000008</v>
      </c>
      <c r="M601" t="str">
        <f t="shared" si="28"/>
        <v>2026-08</v>
      </c>
      <c r="N601">
        <f t="shared" si="29"/>
        <v>0.51111111111111107</v>
      </c>
    </row>
    <row r="602" spans="1:14">
      <c r="A602" t="s">
        <v>731</v>
      </c>
      <c r="B602" t="s">
        <v>169</v>
      </c>
      <c r="C602" t="s">
        <v>34</v>
      </c>
      <c r="D602" t="s">
        <v>40</v>
      </c>
      <c r="E602" s="1">
        <v>46037</v>
      </c>
      <c r="F602">
        <v>112</v>
      </c>
      <c r="G602" t="s">
        <v>35</v>
      </c>
      <c r="H602">
        <v>300</v>
      </c>
      <c r="I602">
        <v>123</v>
      </c>
      <c r="J602">
        <v>1703471.76</v>
      </c>
      <c r="K602">
        <v>218271.89</v>
      </c>
      <c r="L602">
        <f t="shared" si="27"/>
        <v>1485199.87</v>
      </c>
      <c r="M602" t="str">
        <f t="shared" si="28"/>
        <v>2026-01</v>
      </c>
      <c r="N602">
        <f t="shared" si="29"/>
        <v>0.41</v>
      </c>
    </row>
    <row r="603" spans="1:14">
      <c r="A603" t="s">
        <v>732</v>
      </c>
      <c r="B603" t="s">
        <v>118</v>
      </c>
      <c r="C603" t="s">
        <v>40</v>
      </c>
      <c r="D603" t="s">
        <v>69</v>
      </c>
      <c r="E603" s="1">
        <v>46176</v>
      </c>
      <c r="F603">
        <v>260</v>
      </c>
      <c r="G603" t="s">
        <v>46</v>
      </c>
      <c r="H603">
        <v>250</v>
      </c>
      <c r="I603">
        <v>208</v>
      </c>
      <c r="J603">
        <v>1663047.18</v>
      </c>
      <c r="K603">
        <v>336690.95</v>
      </c>
      <c r="L603">
        <f t="shared" si="27"/>
        <v>1326356.23</v>
      </c>
      <c r="M603" t="str">
        <f t="shared" si="28"/>
        <v>2026-06</v>
      </c>
      <c r="N603">
        <f t="shared" si="29"/>
        <v>0.83199999999999996</v>
      </c>
    </row>
    <row r="604" spans="1:14">
      <c r="A604" t="s">
        <v>733</v>
      </c>
      <c r="B604" t="s">
        <v>175</v>
      </c>
      <c r="C604" t="s">
        <v>40</v>
      </c>
      <c r="D604" t="s">
        <v>29</v>
      </c>
      <c r="E604" s="1">
        <v>46175</v>
      </c>
      <c r="F604">
        <v>163</v>
      </c>
      <c r="G604" t="s">
        <v>31</v>
      </c>
      <c r="H604">
        <v>300</v>
      </c>
      <c r="I604">
        <v>248</v>
      </c>
      <c r="J604">
        <v>957994.39</v>
      </c>
      <c r="K604">
        <v>335217.53999999998</v>
      </c>
      <c r="L604">
        <f t="shared" si="27"/>
        <v>622776.85000000009</v>
      </c>
      <c r="M604" t="str">
        <f t="shared" si="28"/>
        <v>2026-06</v>
      </c>
      <c r="N604">
        <f t="shared" si="29"/>
        <v>0.82666666666666666</v>
      </c>
    </row>
    <row r="605" spans="1:14">
      <c r="A605" t="s">
        <v>734</v>
      </c>
      <c r="B605" t="s">
        <v>246</v>
      </c>
      <c r="C605" t="s">
        <v>52</v>
      </c>
      <c r="D605" t="s">
        <v>69</v>
      </c>
      <c r="E605" s="1">
        <v>46095</v>
      </c>
      <c r="F605">
        <v>478</v>
      </c>
      <c r="G605" t="s">
        <v>41</v>
      </c>
      <c r="H605">
        <v>150</v>
      </c>
      <c r="I605">
        <v>80</v>
      </c>
      <c r="J605">
        <v>835201.28</v>
      </c>
      <c r="K605">
        <v>427838.61</v>
      </c>
      <c r="L605">
        <f t="shared" si="27"/>
        <v>407362.67000000004</v>
      </c>
      <c r="M605" t="str">
        <f t="shared" si="28"/>
        <v>2026-03</v>
      </c>
      <c r="N605">
        <f t="shared" si="29"/>
        <v>0.53333333333333333</v>
      </c>
    </row>
    <row r="606" spans="1:14">
      <c r="A606" t="s">
        <v>735</v>
      </c>
      <c r="B606" t="s">
        <v>506</v>
      </c>
      <c r="C606" t="s">
        <v>55</v>
      </c>
      <c r="D606" t="s">
        <v>34</v>
      </c>
      <c r="E606" s="1">
        <v>46215</v>
      </c>
      <c r="F606">
        <v>389</v>
      </c>
      <c r="G606" t="s">
        <v>31</v>
      </c>
      <c r="H606">
        <v>300</v>
      </c>
      <c r="I606">
        <v>148</v>
      </c>
      <c r="J606">
        <v>1961512.23</v>
      </c>
      <c r="K606">
        <v>345830.04</v>
      </c>
      <c r="L606">
        <f t="shared" si="27"/>
        <v>1615682.19</v>
      </c>
      <c r="M606" t="str">
        <f t="shared" si="28"/>
        <v>2026-07</v>
      </c>
      <c r="N606">
        <f t="shared" si="29"/>
        <v>0.49333333333333335</v>
      </c>
    </row>
    <row r="607" spans="1:14">
      <c r="A607" t="s">
        <v>736</v>
      </c>
      <c r="B607" t="s">
        <v>226</v>
      </c>
      <c r="C607" t="s">
        <v>69</v>
      </c>
      <c r="D607" t="s">
        <v>55</v>
      </c>
      <c r="E607" s="1">
        <v>46307</v>
      </c>
      <c r="F607">
        <v>333</v>
      </c>
      <c r="G607" t="s">
        <v>35</v>
      </c>
      <c r="H607">
        <v>250</v>
      </c>
      <c r="I607">
        <v>63</v>
      </c>
      <c r="J607">
        <v>560753.88</v>
      </c>
      <c r="K607">
        <v>500412.67</v>
      </c>
      <c r="L607">
        <f t="shared" si="27"/>
        <v>60341.210000000021</v>
      </c>
      <c r="M607" t="str">
        <f t="shared" si="28"/>
        <v>2026-10</v>
      </c>
      <c r="N607">
        <f t="shared" si="29"/>
        <v>0.252</v>
      </c>
    </row>
    <row r="608" spans="1:14">
      <c r="A608" t="s">
        <v>737</v>
      </c>
      <c r="B608" t="s">
        <v>57</v>
      </c>
      <c r="C608" t="s">
        <v>52</v>
      </c>
      <c r="D608" t="s">
        <v>49</v>
      </c>
      <c r="E608" s="1">
        <v>46222</v>
      </c>
      <c r="F608">
        <v>195</v>
      </c>
      <c r="G608" t="s">
        <v>31</v>
      </c>
      <c r="H608">
        <v>250</v>
      </c>
      <c r="I608">
        <v>244</v>
      </c>
      <c r="J608">
        <v>2972712.09</v>
      </c>
      <c r="K608">
        <v>271129.69</v>
      </c>
      <c r="L608">
        <f t="shared" si="27"/>
        <v>2701582.4</v>
      </c>
      <c r="M608" t="str">
        <f t="shared" si="28"/>
        <v>2026-07</v>
      </c>
      <c r="N608">
        <f t="shared" si="29"/>
        <v>0.97599999999999998</v>
      </c>
    </row>
    <row r="609" spans="1:14">
      <c r="A609" t="s">
        <v>738</v>
      </c>
      <c r="B609" t="s">
        <v>129</v>
      </c>
      <c r="C609" t="s">
        <v>45</v>
      </c>
      <c r="D609" t="s">
        <v>30</v>
      </c>
      <c r="E609" s="1">
        <v>46161</v>
      </c>
      <c r="F609">
        <v>335</v>
      </c>
      <c r="G609" t="s">
        <v>31</v>
      </c>
      <c r="H609">
        <v>150</v>
      </c>
      <c r="I609">
        <v>96</v>
      </c>
      <c r="J609">
        <v>725298.46</v>
      </c>
      <c r="K609">
        <v>419561.67</v>
      </c>
      <c r="L609">
        <f t="shared" si="27"/>
        <v>305736.78999999998</v>
      </c>
      <c r="M609" t="str">
        <f t="shared" si="28"/>
        <v>2026-05</v>
      </c>
      <c r="N609">
        <f t="shared" si="29"/>
        <v>0.64</v>
      </c>
    </row>
    <row r="610" spans="1:14">
      <c r="A610" t="s">
        <v>739</v>
      </c>
      <c r="B610" t="s">
        <v>116</v>
      </c>
      <c r="C610" t="s">
        <v>30</v>
      </c>
      <c r="D610" t="s">
        <v>44</v>
      </c>
      <c r="E610" s="1">
        <v>46161</v>
      </c>
      <c r="F610">
        <v>264</v>
      </c>
      <c r="G610" t="s">
        <v>41</v>
      </c>
      <c r="H610">
        <v>150</v>
      </c>
      <c r="I610">
        <v>53</v>
      </c>
      <c r="J610">
        <v>571861.92000000004</v>
      </c>
      <c r="K610">
        <v>336003.44</v>
      </c>
      <c r="L610">
        <f t="shared" si="27"/>
        <v>235858.48000000004</v>
      </c>
      <c r="M610" t="str">
        <f t="shared" si="28"/>
        <v>2026-05</v>
      </c>
      <c r="N610">
        <f t="shared" si="29"/>
        <v>0.35333333333333333</v>
      </c>
    </row>
    <row r="611" spans="1:14">
      <c r="A611" t="s">
        <v>740</v>
      </c>
      <c r="B611" t="s">
        <v>256</v>
      </c>
      <c r="C611" t="s">
        <v>45</v>
      </c>
      <c r="D611" t="s">
        <v>44</v>
      </c>
      <c r="E611" s="1">
        <v>46099</v>
      </c>
      <c r="F611">
        <v>136</v>
      </c>
      <c r="G611" t="s">
        <v>46</v>
      </c>
      <c r="H611">
        <v>300</v>
      </c>
      <c r="I611">
        <v>294</v>
      </c>
      <c r="J611">
        <v>2232268.59</v>
      </c>
      <c r="K611">
        <v>290084.40000000002</v>
      </c>
      <c r="L611">
        <f t="shared" si="27"/>
        <v>1942184.19</v>
      </c>
      <c r="M611" t="str">
        <f t="shared" si="28"/>
        <v>2026-03</v>
      </c>
      <c r="N611">
        <f t="shared" si="29"/>
        <v>0.98</v>
      </c>
    </row>
    <row r="612" spans="1:14">
      <c r="A612" t="s">
        <v>741</v>
      </c>
      <c r="B612" t="s">
        <v>107</v>
      </c>
      <c r="C612" t="s">
        <v>30</v>
      </c>
      <c r="D612" t="s">
        <v>45</v>
      </c>
      <c r="E612" s="1">
        <v>46174</v>
      </c>
      <c r="F612">
        <v>217</v>
      </c>
      <c r="G612" t="s">
        <v>46</v>
      </c>
      <c r="H612">
        <v>150</v>
      </c>
      <c r="I612">
        <v>111</v>
      </c>
      <c r="J612">
        <v>1508483.48</v>
      </c>
      <c r="K612">
        <v>186556.49</v>
      </c>
      <c r="L612">
        <f t="shared" si="27"/>
        <v>1321926.99</v>
      </c>
      <c r="M612" t="str">
        <f t="shared" si="28"/>
        <v>2026-06</v>
      </c>
      <c r="N612">
        <f t="shared" si="29"/>
        <v>0.74</v>
      </c>
    </row>
    <row r="613" spans="1:14">
      <c r="A613" t="s">
        <v>742</v>
      </c>
      <c r="B613" t="s">
        <v>54</v>
      </c>
      <c r="C613" t="s">
        <v>52</v>
      </c>
      <c r="D613" t="s">
        <v>55</v>
      </c>
      <c r="E613" s="1">
        <v>46081</v>
      </c>
      <c r="F613">
        <v>236</v>
      </c>
      <c r="G613" t="s">
        <v>31</v>
      </c>
      <c r="H613">
        <v>180</v>
      </c>
      <c r="I613">
        <v>98</v>
      </c>
      <c r="J613">
        <v>918855.79</v>
      </c>
      <c r="K613">
        <v>274033.67</v>
      </c>
      <c r="L613">
        <f t="shared" si="27"/>
        <v>644822.12000000011</v>
      </c>
      <c r="M613" t="str">
        <f t="shared" si="28"/>
        <v>2026-02</v>
      </c>
      <c r="N613">
        <f t="shared" si="29"/>
        <v>0.5444444444444444</v>
      </c>
    </row>
    <row r="614" spans="1:14">
      <c r="A614" t="s">
        <v>743</v>
      </c>
      <c r="B614" t="s">
        <v>407</v>
      </c>
      <c r="C614" t="s">
        <v>49</v>
      </c>
      <c r="D614" t="s">
        <v>29</v>
      </c>
      <c r="E614" s="1">
        <v>46293</v>
      </c>
      <c r="F614">
        <v>123</v>
      </c>
      <c r="G614" t="s">
        <v>46</v>
      </c>
      <c r="H614">
        <v>180</v>
      </c>
      <c r="I614">
        <v>124</v>
      </c>
      <c r="J614">
        <v>621196.09</v>
      </c>
      <c r="K614">
        <v>184132.4</v>
      </c>
      <c r="L614">
        <f t="shared" si="27"/>
        <v>437063.68999999994</v>
      </c>
      <c r="M614" t="str">
        <f t="shared" si="28"/>
        <v>2026-09</v>
      </c>
      <c r="N614">
        <f t="shared" si="29"/>
        <v>0.68888888888888888</v>
      </c>
    </row>
    <row r="615" spans="1:14">
      <c r="A615" t="s">
        <v>744</v>
      </c>
      <c r="B615" t="s">
        <v>163</v>
      </c>
      <c r="C615" t="s">
        <v>29</v>
      </c>
      <c r="D615" t="s">
        <v>69</v>
      </c>
      <c r="E615" s="1">
        <v>46303</v>
      </c>
      <c r="F615">
        <v>132</v>
      </c>
      <c r="G615" t="s">
        <v>46</v>
      </c>
      <c r="H615">
        <v>150</v>
      </c>
      <c r="I615">
        <v>136</v>
      </c>
      <c r="J615">
        <v>1839928.79</v>
      </c>
      <c r="K615">
        <v>144721.99</v>
      </c>
      <c r="L615">
        <f t="shared" si="27"/>
        <v>1695206.8</v>
      </c>
      <c r="M615" t="str">
        <f t="shared" si="28"/>
        <v>2026-10</v>
      </c>
      <c r="N615">
        <f t="shared" si="29"/>
        <v>0.90666666666666662</v>
      </c>
    </row>
    <row r="616" spans="1:14">
      <c r="A616" t="s">
        <v>745</v>
      </c>
      <c r="B616" t="s">
        <v>28</v>
      </c>
      <c r="C616" t="s">
        <v>29</v>
      </c>
      <c r="D616" t="s">
        <v>30</v>
      </c>
      <c r="E616" s="1">
        <v>46153</v>
      </c>
      <c r="F616">
        <v>161</v>
      </c>
      <c r="G616" t="s">
        <v>46</v>
      </c>
      <c r="H616">
        <v>180</v>
      </c>
      <c r="I616">
        <v>85</v>
      </c>
      <c r="J616">
        <v>846331.86</v>
      </c>
      <c r="K616">
        <v>245675.05</v>
      </c>
      <c r="L616">
        <f t="shared" si="27"/>
        <v>600656.81000000006</v>
      </c>
      <c r="M616" t="str">
        <f t="shared" si="28"/>
        <v>2026-05</v>
      </c>
      <c r="N616">
        <f t="shared" si="29"/>
        <v>0.47222222222222221</v>
      </c>
    </row>
    <row r="617" spans="1:14">
      <c r="A617" t="s">
        <v>746</v>
      </c>
      <c r="B617" t="s">
        <v>135</v>
      </c>
      <c r="C617" t="s">
        <v>30</v>
      </c>
      <c r="D617" t="s">
        <v>49</v>
      </c>
      <c r="E617" s="1">
        <v>46135</v>
      </c>
      <c r="F617">
        <v>192</v>
      </c>
      <c r="G617" t="s">
        <v>31</v>
      </c>
      <c r="H617">
        <v>250</v>
      </c>
      <c r="I617">
        <v>106</v>
      </c>
      <c r="J617">
        <v>810497.12</v>
      </c>
      <c r="K617">
        <v>267516.98</v>
      </c>
      <c r="L617">
        <f t="shared" si="27"/>
        <v>542980.14</v>
      </c>
      <c r="M617" t="str">
        <f t="shared" si="28"/>
        <v>2026-04</v>
      </c>
      <c r="N617">
        <f t="shared" si="29"/>
        <v>0.42399999999999999</v>
      </c>
    </row>
    <row r="618" spans="1:14">
      <c r="A618" t="s">
        <v>747</v>
      </c>
      <c r="B618" t="s">
        <v>28</v>
      </c>
      <c r="C618" t="s">
        <v>29</v>
      </c>
      <c r="D618" t="s">
        <v>30</v>
      </c>
      <c r="E618" s="1">
        <v>46063</v>
      </c>
      <c r="F618">
        <v>226</v>
      </c>
      <c r="G618" t="s">
        <v>46</v>
      </c>
      <c r="H618">
        <v>180</v>
      </c>
      <c r="I618">
        <v>72</v>
      </c>
      <c r="J618">
        <v>651683.63</v>
      </c>
      <c r="K618">
        <v>339945.04</v>
      </c>
      <c r="L618">
        <f t="shared" si="27"/>
        <v>311738.59000000003</v>
      </c>
      <c r="M618" t="str">
        <f t="shared" si="28"/>
        <v>2026-02</v>
      </c>
      <c r="N618">
        <f t="shared" si="29"/>
        <v>0.4</v>
      </c>
    </row>
    <row r="619" spans="1:14">
      <c r="A619" t="s">
        <v>748</v>
      </c>
      <c r="B619" t="s">
        <v>226</v>
      </c>
      <c r="C619" t="s">
        <v>69</v>
      </c>
      <c r="D619" t="s">
        <v>55</v>
      </c>
      <c r="E619" s="1">
        <v>46073</v>
      </c>
      <c r="F619">
        <v>452</v>
      </c>
      <c r="G619" t="s">
        <v>41</v>
      </c>
      <c r="H619">
        <v>300</v>
      </c>
      <c r="I619">
        <v>104</v>
      </c>
      <c r="J619">
        <v>927690.3</v>
      </c>
      <c r="K619">
        <v>388677.86</v>
      </c>
      <c r="L619">
        <f t="shared" si="27"/>
        <v>539012.44000000006</v>
      </c>
      <c r="M619" t="str">
        <f t="shared" si="28"/>
        <v>2026-02</v>
      </c>
      <c r="N619">
        <f t="shared" si="29"/>
        <v>0.34666666666666668</v>
      </c>
    </row>
    <row r="620" spans="1:14">
      <c r="A620" t="s">
        <v>749</v>
      </c>
      <c r="B620" t="s">
        <v>54</v>
      </c>
      <c r="C620" t="s">
        <v>52</v>
      </c>
      <c r="D620" t="s">
        <v>55</v>
      </c>
      <c r="E620" s="1">
        <v>46162</v>
      </c>
      <c r="F620">
        <v>461</v>
      </c>
      <c r="G620" t="s">
        <v>46</v>
      </c>
      <c r="H620">
        <v>300</v>
      </c>
      <c r="I620">
        <v>289</v>
      </c>
      <c r="J620">
        <v>2731716.3</v>
      </c>
      <c r="K620">
        <v>594651.69999999995</v>
      </c>
      <c r="L620">
        <f t="shared" si="27"/>
        <v>2137064.5999999996</v>
      </c>
      <c r="M620" t="str">
        <f t="shared" si="28"/>
        <v>2026-05</v>
      </c>
      <c r="N620">
        <f t="shared" si="29"/>
        <v>0.96333333333333337</v>
      </c>
    </row>
    <row r="621" spans="1:14">
      <c r="A621" t="s">
        <v>750</v>
      </c>
      <c r="B621" t="s">
        <v>66</v>
      </c>
      <c r="C621" t="s">
        <v>49</v>
      </c>
      <c r="D621" t="s">
        <v>45</v>
      </c>
      <c r="E621" s="1">
        <v>46138</v>
      </c>
      <c r="F621">
        <v>411</v>
      </c>
      <c r="G621" t="s">
        <v>41</v>
      </c>
      <c r="H621">
        <v>180</v>
      </c>
      <c r="I621">
        <v>50</v>
      </c>
      <c r="J621">
        <v>231296.71</v>
      </c>
      <c r="K621">
        <v>424265.87</v>
      </c>
      <c r="L621">
        <f t="shared" si="27"/>
        <v>-192969.16</v>
      </c>
      <c r="M621" t="str">
        <f t="shared" si="28"/>
        <v>2026-04</v>
      </c>
      <c r="N621">
        <f t="shared" si="29"/>
        <v>0.27777777777777779</v>
      </c>
    </row>
    <row r="622" spans="1:14">
      <c r="A622" t="s">
        <v>751</v>
      </c>
      <c r="B622" t="s">
        <v>73</v>
      </c>
      <c r="C622" t="s">
        <v>29</v>
      </c>
      <c r="D622" t="s">
        <v>52</v>
      </c>
      <c r="E622" s="1">
        <v>46166</v>
      </c>
      <c r="F622">
        <v>348</v>
      </c>
      <c r="G622" t="s">
        <v>46</v>
      </c>
      <c r="H622">
        <v>180</v>
      </c>
      <c r="I622">
        <v>50</v>
      </c>
      <c r="J622">
        <v>392385.77</v>
      </c>
      <c r="K622">
        <v>376084.55</v>
      </c>
      <c r="L622">
        <f t="shared" si="27"/>
        <v>16301.22000000003</v>
      </c>
      <c r="M622" t="str">
        <f t="shared" si="28"/>
        <v>2026-05</v>
      </c>
      <c r="N622">
        <f t="shared" si="29"/>
        <v>0.27777777777777779</v>
      </c>
    </row>
    <row r="623" spans="1:14">
      <c r="A623" t="s">
        <v>752</v>
      </c>
      <c r="B623" t="s">
        <v>208</v>
      </c>
      <c r="C623" t="s">
        <v>44</v>
      </c>
      <c r="D623" t="s">
        <v>49</v>
      </c>
      <c r="E623" s="1">
        <v>46237</v>
      </c>
      <c r="F623">
        <v>556</v>
      </c>
      <c r="G623" t="s">
        <v>35</v>
      </c>
      <c r="H623">
        <v>300</v>
      </c>
      <c r="I623">
        <v>72</v>
      </c>
      <c r="J623">
        <v>754420.97</v>
      </c>
      <c r="K623">
        <v>456967.54</v>
      </c>
      <c r="L623">
        <f t="shared" si="27"/>
        <v>297453.43</v>
      </c>
      <c r="M623" t="str">
        <f t="shared" si="28"/>
        <v>2026-08</v>
      </c>
      <c r="N623">
        <f t="shared" si="29"/>
        <v>0.24</v>
      </c>
    </row>
    <row r="624" spans="1:14">
      <c r="A624" t="s">
        <v>753</v>
      </c>
      <c r="B624" t="s">
        <v>98</v>
      </c>
      <c r="C624" t="s">
        <v>40</v>
      </c>
      <c r="D624" t="s">
        <v>34</v>
      </c>
      <c r="E624" s="1">
        <v>46237</v>
      </c>
      <c r="F624">
        <v>251</v>
      </c>
      <c r="G624" t="s">
        <v>35</v>
      </c>
      <c r="H624">
        <v>300</v>
      </c>
      <c r="I624">
        <v>256</v>
      </c>
      <c r="J624">
        <v>2181316.9700000002</v>
      </c>
      <c r="K624">
        <v>327802.15999999997</v>
      </c>
      <c r="L624">
        <f t="shared" si="27"/>
        <v>1853514.8100000003</v>
      </c>
      <c r="M624" t="str">
        <f t="shared" si="28"/>
        <v>2026-08</v>
      </c>
      <c r="N624">
        <f t="shared" si="29"/>
        <v>0.85333333333333339</v>
      </c>
    </row>
    <row r="625" spans="1:14">
      <c r="A625" t="s">
        <v>754</v>
      </c>
      <c r="B625" t="s">
        <v>407</v>
      </c>
      <c r="C625" t="s">
        <v>49</v>
      </c>
      <c r="D625" t="s">
        <v>29</v>
      </c>
      <c r="E625" s="1">
        <v>46095</v>
      </c>
      <c r="F625">
        <v>111</v>
      </c>
      <c r="G625" t="s">
        <v>35</v>
      </c>
      <c r="H625">
        <v>300</v>
      </c>
      <c r="I625">
        <v>114</v>
      </c>
      <c r="J625">
        <v>515876.38</v>
      </c>
      <c r="K625">
        <v>233217.39</v>
      </c>
      <c r="L625">
        <f t="shared" si="27"/>
        <v>282658.99</v>
      </c>
      <c r="M625" t="str">
        <f t="shared" si="28"/>
        <v>2026-03</v>
      </c>
      <c r="N625">
        <f t="shared" si="29"/>
        <v>0.38</v>
      </c>
    </row>
    <row r="626" spans="1:14">
      <c r="A626" t="s">
        <v>755</v>
      </c>
      <c r="B626" t="s">
        <v>137</v>
      </c>
      <c r="C626" t="s">
        <v>69</v>
      </c>
      <c r="D626" t="s">
        <v>34</v>
      </c>
      <c r="E626" s="1">
        <v>46076</v>
      </c>
      <c r="F626">
        <v>335</v>
      </c>
      <c r="G626" t="s">
        <v>31</v>
      </c>
      <c r="H626">
        <v>250</v>
      </c>
      <c r="I626">
        <v>184</v>
      </c>
      <c r="J626">
        <v>614246.48</v>
      </c>
      <c r="K626">
        <v>349892.72</v>
      </c>
      <c r="L626">
        <f t="shared" si="27"/>
        <v>264353.76</v>
      </c>
      <c r="M626" t="str">
        <f t="shared" si="28"/>
        <v>2026-02</v>
      </c>
      <c r="N626">
        <f t="shared" si="29"/>
        <v>0.73599999999999999</v>
      </c>
    </row>
    <row r="627" spans="1:14">
      <c r="A627" t="s">
        <v>756</v>
      </c>
      <c r="B627" t="s">
        <v>430</v>
      </c>
      <c r="C627" t="s">
        <v>49</v>
      </c>
      <c r="D627" t="s">
        <v>52</v>
      </c>
      <c r="E627" s="1">
        <v>46123</v>
      </c>
      <c r="F627">
        <v>115</v>
      </c>
      <c r="G627" t="s">
        <v>35</v>
      </c>
      <c r="H627">
        <v>300</v>
      </c>
      <c r="I627">
        <v>288</v>
      </c>
      <c r="J627">
        <v>1091507.94</v>
      </c>
      <c r="K627">
        <v>263252.11</v>
      </c>
      <c r="L627">
        <f t="shared" si="27"/>
        <v>828255.83</v>
      </c>
      <c r="M627" t="str">
        <f t="shared" si="28"/>
        <v>2026-04</v>
      </c>
      <c r="N627">
        <f t="shared" si="29"/>
        <v>0.96</v>
      </c>
    </row>
    <row r="628" spans="1:14">
      <c r="A628" t="s">
        <v>757</v>
      </c>
      <c r="B628" t="s">
        <v>141</v>
      </c>
      <c r="C628" t="s">
        <v>69</v>
      </c>
      <c r="D628" t="s">
        <v>44</v>
      </c>
      <c r="E628" s="1">
        <v>46038</v>
      </c>
      <c r="F628">
        <v>337</v>
      </c>
      <c r="G628" t="s">
        <v>41</v>
      </c>
      <c r="H628">
        <v>150</v>
      </c>
      <c r="I628">
        <v>111</v>
      </c>
      <c r="J628">
        <v>562569.15</v>
      </c>
      <c r="K628">
        <v>420975.87</v>
      </c>
      <c r="L628">
        <f t="shared" si="27"/>
        <v>141593.28000000003</v>
      </c>
      <c r="M628" t="str">
        <f t="shared" si="28"/>
        <v>2026-01</v>
      </c>
      <c r="N628">
        <f t="shared" si="29"/>
        <v>0.74</v>
      </c>
    </row>
    <row r="629" spans="1:14">
      <c r="A629" t="s">
        <v>758</v>
      </c>
      <c r="B629" t="s">
        <v>124</v>
      </c>
      <c r="C629" t="s">
        <v>55</v>
      </c>
      <c r="D629" t="s">
        <v>49</v>
      </c>
      <c r="E629" s="1">
        <v>46287</v>
      </c>
      <c r="F629">
        <v>328</v>
      </c>
      <c r="G629" t="s">
        <v>46</v>
      </c>
      <c r="H629">
        <v>250</v>
      </c>
      <c r="I629">
        <v>84</v>
      </c>
      <c r="J629">
        <v>385634.67</v>
      </c>
      <c r="K629">
        <v>466864.91</v>
      </c>
      <c r="L629">
        <f t="shared" si="27"/>
        <v>-81230.239999999991</v>
      </c>
      <c r="M629" t="str">
        <f t="shared" si="28"/>
        <v>2026-09</v>
      </c>
      <c r="N629">
        <f t="shared" si="29"/>
        <v>0.33600000000000002</v>
      </c>
    </row>
    <row r="630" spans="1:14">
      <c r="A630" t="s">
        <v>759</v>
      </c>
      <c r="B630" t="s">
        <v>282</v>
      </c>
      <c r="C630" t="s">
        <v>52</v>
      </c>
      <c r="D630" t="s">
        <v>29</v>
      </c>
      <c r="E630" s="1">
        <v>46105</v>
      </c>
      <c r="F630">
        <v>284</v>
      </c>
      <c r="G630" t="s">
        <v>35</v>
      </c>
      <c r="H630">
        <v>250</v>
      </c>
      <c r="I630">
        <v>167</v>
      </c>
      <c r="J630">
        <v>2145219.91</v>
      </c>
      <c r="K630">
        <v>383162.76</v>
      </c>
      <c r="L630">
        <f t="shared" si="27"/>
        <v>1762057.1500000001</v>
      </c>
      <c r="M630" t="str">
        <f t="shared" si="28"/>
        <v>2026-03</v>
      </c>
      <c r="N630">
        <f t="shared" si="29"/>
        <v>0.66800000000000004</v>
      </c>
    </row>
    <row r="631" spans="1:14">
      <c r="A631" t="s">
        <v>760</v>
      </c>
      <c r="B631" t="s">
        <v>277</v>
      </c>
      <c r="C631" t="s">
        <v>45</v>
      </c>
      <c r="D631" t="s">
        <v>69</v>
      </c>
      <c r="E631" s="1">
        <v>46232</v>
      </c>
      <c r="F631">
        <v>132</v>
      </c>
      <c r="G631" t="s">
        <v>35</v>
      </c>
      <c r="H631">
        <v>250</v>
      </c>
      <c r="I631">
        <v>102</v>
      </c>
      <c r="J631">
        <v>1358331.31</v>
      </c>
      <c r="K631">
        <v>233342.61</v>
      </c>
      <c r="L631">
        <f t="shared" si="27"/>
        <v>1124988.7000000002</v>
      </c>
      <c r="M631" t="str">
        <f t="shared" si="28"/>
        <v>2026-07</v>
      </c>
      <c r="N631">
        <f t="shared" si="29"/>
        <v>0.40799999999999997</v>
      </c>
    </row>
    <row r="632" spans="1:14">
      <c r="A632" t="s">
        <v>761</v>
      </c>
      <c r="B632" t="s">
        <v>116</v>
      </c>
      <c r="C632" t="s">
        <v>30</v>
      </c>
      <c r="D632" t="s">
        <v>44</v>
      </c>
      <c r="E632" s="1">
        <v>46241</v>
      </c>
      <c r="F632">
        <v>181</v>
      </c>
      <c r="G632" t="s">
        <v>31</v>
      </c>
      <c r="H632">
        <v>300</v>
      </c>
      <c r="I632">
        <v>75</v>
      </c>
      <c r="J632">
        <v>1090699.4099999999</v>
      </c>
      <c r="K632">
        <v>323184.68</v>
      </c>
      <c r="L632">
        <f t="shared" si="27"/>
        <v>767514.73</v>
      </c>
      <c r="M632" t="str">
        <f t="shared" si="28"/>
        <v>2026-08</v>
      </c>
      <c r="N632">
        <f t="shared" si="29"/>
        <v>0.25</v>
      </c>
    </row>
    <row r="633" spans="1:14">
      <c r="A633" t="s">
        <v>762</v>
      </c>
      <c r="B633" t="s">
        <v>98</v>
      </c>
      <c r="C633" t="s">
        <v>40</v>
      </c>
      <c r="D633" t="s">
        <v>34</v>
      </c>
      <c r="E633" s="1">
        <v>46145</v>
      </c>
      <c r="F633">
        <v>408</v>
      </c>
      <c r="G633" t="s">
        <v>35</v>
      </c>
      <c r="H633">
        <v>180</v>
      </c>
      <c r="I633">
        <v>116</v>
      </c>
      <c r="J633">
        <v>1172854.9099999999</v>
      </c>
      <c r="K633">
        <v>402506.38</v>
      </c>
      <c r="L633">
        <f t="shared" si="27"/>
        <v>770348.52999999991</v>
      </c>
      <c r="M633" t="str">
        <f t="shared" si="28"/>
        <v>2026-05</v>
      </c>
      <c r="N633">
        <f t="shared" si="29"/>
        <v>0.64444444444444449</v>
      </c>
    </row>
    <row r="634" spans="1:14">
      <c r="A634" t="s">
        <v>763</v>
      </c>
      <c r="B634" t="s">
        <v>202</v>
      </c>
      <c r="C634" t="s">
        <v>29</v>
      </c>
      <c r="D634" t="s">
        <v>55</v>
      </c>
      <c r="E634" s="1">
        <v>46211</v>
      </c>
      <c r="F634">
        <v>299</v>
      </c>
      <c r="G634" t="s">
        <v>31</v>
      </c>
      <c r="H634">
        <v>250</v>
      </c>
      <c r="I634">
        <v>245</v>
      </c>
      <c r="J634">
        <v>1120374.79</v>
      </c>
      <c r="K634">
        <v>434856.68</v>
      </c>
      <c r="L634">
        <f t="shared" si="27"/>
        <v>685518.1100000001</v>
      </c>
      <c r="M634" t="str">
        <f t="shared" si="28"/>
        <v>2026-07</v>
      </c>
      <c r="N634">
        <f t="shared" si="29"/>
        <v>0.98</v>
      </c>
    </row>
    <row r="635" spans="1:14">
      <c r="A635" t="s">
        <v>764</v>
      </c>
      <c r="B635" t="s">
        <v>256</v>
      </c>
      <c r="C635" t="s">
        <v>45</v>
      </c>
      <c r="D635" t="s">
        <v>44</v>
      </c>
      <c r="E635" s="1">
        <v>46191</v>
      </c>
      <c r="F635">
        <v>398</v>
      </c>
      <c r="G635" t="s">
        <v>46</v>
      </c>
      <c r="H635">
        <v>150</v>
      </c>
      <c r="I635">
        <v>144</v>
      </c>
      <c r="J635">
        <v>1134667.92</v>
      </c>
      <c r="K635">
        <v>380749.62</v>
      </c>
      <c r="L635">
        <f t="shared" si="27"/>
        <v>753918.29999999993</v>
      </c>
      <c r="M635" t="str">
        <f t="shared" si="28"/>
        <v>2026-06</v>
      </c>
      <c r="N635">
        <f t="shared" si="29"/>
        <v>0.96</v>
      </c>
    </row>
    <row r="636" spans="1:14">
      <c r="A636" t="s">
        <v>765</v>
      </c>
      <c r="B636" t="s">
        <v>120</v>
      </c>
      <c r="C636" t="s">
        <v>52</v>
      </c>
      <c r="D636" t="s">
        <v>34</v>
      </c>
      <c r="E636" s="1">
        <v>46191</v>
      </c>
      <c r="F636">
        <v>262</v>
      </c>
      <c r="G636" t="s">
        <v>41</v>
      </c>
      <c r="H636">
        <v>150</v>
      </c>
      <c r="I636">
        <v>66</v>
      </c>
      <c r="J636">
        <v>940662.06</v>
      </c>
      <c r="K636">
        <v>373307.49</v>
      </c>
      <c r="L636">
        <f t="shared" si="27"/>
        <v>567354.57000000007</v>
      </c>
      <c r="M636" t="str">
        <f t="shared" si="28"/>
        <v>2026-06</v>
      </c>
      <c r="N636">
        <f t="shared" si="29"/>
        <v>0.44</v>
      </c>
    </row>
    <row r="637" spans="1:14">
      <c r="A637" t="s">
        <v>766</v>
      </c>
      <c r="B637" t="s">
        <v>530</v>
      </c>
      <c r="C637" t="s">
        <v>34</v>
      </c>
      <c r="D637" t="s">
        <v>45</v>
      </c>
      <c r="E637" s="1">
        <v>46296</v>
      </c>
      <c r="F637">
        <v>267</v>
      </c>
      <c r="G637" t="s">
        <v>41</v>
      </c>
      <c r="H637">
        <v>150</v>
      </c>
      <c r="I637">
        <v>59</v>
      </c>
      <c r="J637">
        <v>562065.56999999995</v>
      </c>
      <c r="K637">
        <v>271775.75</v>
      </c>
      <c r="L637">
        <f t="shared" si="27"/>
        <v>290289.81999999995</v>
      </c>
      <c r="M637" t="str">
        <f t="shared" si="28"/>
        <v>2026-10</v>
      </c>
      <c r="N637">
        <f t="shared" si="29"/>
        <v>0.39333333333333331</v>
      </c>
    </row>
    <row r="638" spans="1:14">
      <c r="A638" t="s">
        <v>767</v>
      </c>
      <c r="B638" t="s">
        <v>144</v>
      </c>
      <c r="C638" t="s">
        <v>49</v>
      </c>
      <c r="D638" t="s">
        <v>55</v>
      </c>
      <c r="E638" s="1">
        <v>46046</v>
      </c>
      <c r="F638">
        <v>415</v>
      </c>
      <c r="G638" t="s">
        <v>46</v>
      </c>
      <c r="H638">
        <v>300</v>
      </c>
      <c r="I638">
        <v>204</v>
      </c>
      <c r="J638">
        <v>2632721.98</v>
      </c>
      <c r="K638">
        <v>373768.67</v>
      </c>
      <c r="L638">
        <f t="shared" si="27"/>
        <v>2258953.31</v>
      </c>
      <c r="M638" t="str">
        <f t="shared" si="28"/>
        <v>2026-01</v>
      </c>
      <c r="N638">
        <f t="shared" si="29"/>
        <v>0.68</v>
      </c>
    </row>
    <row r="639" spans="1:14">
      <c r="A639" t="s">
        <v>768</v>
      </c>
      <c r="B639" t="s">
        <v>96</v>
      </c>
      <c r="C639" t="s">
        <v>69</v>
      </c>
      <c r="D639" t="s">
        <v>30</v>
      </c>
      <c r="E639" s="1">
        <v>46096</v>
      </c>
      <c r="F639">
        <v>246</v>
      </c>
      <c r="G639" t="s">
        <v>46</v>
      </c>
      <c r="H639">
        <v>150</v>
      </c>
      <c r="I639">
        <v>85</v>
      </c>
      <c r="J639">
        <v>1256777.8899999999</v>
      </c>
      <c r="K639">
        <v>367276.04</v>
      </c>
      <c r="L639">
        <f t="shared" si="27"/>
        <v>889501.84999999986</v>
      </c>
      <c r="M639" t="str">
        <f t="shared" si="28"/>
        <v>2026-03</v>
      </c>
      <c r="N639">
        <f t="shared" si="29"/>
        <v>0.56666666666666665</v>
      </c>
    </row>
    <row r="640" spans="1:14">
      <c r="A640" t="s">
        <v>769</v>
      </c>
      <c r="B640" t="s">
        <v>277</v>
      </c>
      <c r="C640" t="s">
        <v>45</v>
      </c>
      <c r="D640" t="s">
        <v>69</v>
      </c>
      <c r="E640" s="1">
        <v>46236</v>
      </c>
      <c r="F640">
        <v>490</v>
      </c>
      <c r="G640" t="s">
        <v>46</v>
      </c>
      <c r="H640">
        <v>150</v>
      </c>
      <c r="I640">
        <v>107</v>
      </c>
      <c r="J640">
        <v>1558668.16</v>
      </c>
      <c r="K640">
        <v>540061.82999999996</v>
      </c>
      <c r="L640">
        <f t="shared" si="27"/>
        <v>1018606.33</v>
      </c>
      <c r="M640" t="str">
        <f t="shared" si="28"/>
        <v>2026-08</v>
      </c>
      <c r="N640">
        <f t="shared" si="29"/>
        <v>0.71333333333333337</v>
      </c>
    </row>
    <row r="641" spans="1:14">
      <c r="A641" t="s">
        <v>770</v>
      </c>
      <c r="B641" t="s">
        <v>33</v>
      </c>
      <c r="C641" t="s">
        <v>29</v>
      </c>
      <c r="D641" t="s">
        <v>34</v>
      </c>
      <c r="E641" s="1">
        <v>46261</v>
      </c>
      <c r="F641">
        <v>97</v>
      </c>
      <c r="G641" t="s">
        <v>41</v>
      </c>
      <c r="H641">
        <v>180</v>
      </c>
      <c r="I641">
        <v>108</v>
      </c>
      <c r="J641">
        <v>1465781.29</v>
      </c>
      <c r="K641">
        <v>174316.97</v>
      </c>
      <c r="L641">
        <f t="shared" si="27"/>
        <v>1291464.32</v>
      </c>
      <c r="M641" t="str">
        <f t="shared" si="28"/>
        <v>2026-08</v>
      </c>
      <c r="N641">
        <f t="shared" si="29"/>
        <v>0.6</v>
      </c>
    </row>
    <row r="642" spans="1:14">
      <c r="A642" t="s">
        <v>771</v>
      </c>
      <c r="B642" t="s">
        <v>64</v>
      </c>
      <c r="C642" t="s">
        <v>34</v>
      </c>
      <c r="D642" t="s">
        <v>55</v>
      </c>
      <c r="E642" s="1">
        <v>46303</v>
      </c>
      <c r="F642">
        <v>316</v>
      </c>
      <c r="G642" t="s">
        <v>35</v>
      </c>
      <c r="H642">
        <v>180</v>
      </c>
      <c r="I642">
        <v>180</v>
      </c>
      <c r="J642">
        <v>882403.71</v>
      </c>
      <c r="K642">
        <v>355827.89</v>
      </c>
      <c r="L642">
        <f t="shared" si="27"/>
        <v>526575.81999999995</v>
      </c>
      <c r="M642" t="str">
        <f t="shared" si="28"/>
        <v>2026-10</v>
      </c>
      <c r="N642">
        <f t="shared" si="29"/>
        <v>1</v>
      </c>
    </row>
    <row r="643" spans="1:14">
      <c r="A643" t="s">
        <v>772</v>
      </c>
      <c r="B643" t="s">
        <v>33</v>
      </c>
      <c r="C643" t="s">
        <v>29</v>
      </c>
      <c r="D643" t="s">
        <v>34</v>
      </c>
      <c r="E643" s="1">
        <v>46153</v>
      </c>
      <c r="F643">
        <v>116</v>
      </c>
      <c r="G643" t="s">
        <v>46</v>
      </c>
      <c r="H643">
        <v>300</v>
      </c>
      <c r="I643">
        <v>258</v>
      </c>
      <c r="J643">
        <v>870637.18</v>
      </c>
      <c r="K643">
        <v>286509.48</v>
      </c>
      <c r="L643">
        <f t="shared" ref="L643:L706" si="30">J643-K643</f>
        <v>584127.70000000007</v>
      </c>
      <c r="M643" t="str">
        <f t="shared" ref="M643:M706" si="31">TEXT(E643,"YYYY-MM")</f>
        <v>2026-05</v>
      </c>
      <c r="N643">
        <f t="shared" ref="N643:N706" si="32">I643/H643</f>
        <v>0.86</v>
      </c>
    </row>
    <row r="644" spans="1:14">
      <c r="A644" t="s">
        <v>773</v>
      </c>
      <c r="B644" t="s">
        <v>165</v>
      </c>
      <c r="C644" t="s">
        <v>34</v>
      </c>
      <c r="D644" t="s">
        <v>29</v>
      </c>
      <c r="E644" s="1">
        <v>46226</v>
      </c>
      <c r="F644">
        <v>441</v>
      </c>
      <c r="G644" t="s">
        <v>41</v>
      </c>
      <c r="H644">
        <v>300</v>
      </c>
      <c r="I644">
        <v>110</v>
      </c>
      <c r="J644">
        <v>604353.71</v>
      </c>
      <c r="K644">
        <v>621598.71</v>
      </c>
      <c r="L644">
        <f t="shared" si="30"/>
        <v>-17245</v>
      </c>
      <c r="M644" t="str">
        <f t="shared" si="31"/>
        <v>2026-07</v>
      </c>
      <c r="N644">
        <f t="shared" si="32"/>
        <v>0.36666666666666664</v>
      </c>
    </row>
    <row r="645" spans="1:14">
      <c r="A645" t="s">
        <v>774</v>
      </c>
      <c r="B645" t="s">
        <v>364</v>
      </c>
      <c r="C645" t="s">
        <v>69</v>
      </c>
      <c r="D645" t="s">
        <v>49</v>
      </c>
      <c r="E645" s="1">
        <v>46102</v>
      </c>
      <c r="F645">
        <v>532</v>
      </c>
      <c r="G645" t="s">
        <v>31</v>
      </c>
      <c r="H645">
        <v>250</v>
      </c>
      <c r="I645">
        <v>161</v>
      </c>
      <c r="J645">
        <v>1466546.09</v>
      </c>
      <c r="K645">
        <v>699978.67</v>
      </c>
      <c r="L645">
        <f t="shared" si="30"/>
        <v>766567.42</v>
      </c>
      <c r="M645" t="str">
        <f t="shared" si="31"/>
        <v>2026-03</v>
      </c>
      <c r="N645">
        <f t="shared" si="32"/>
        <v>0.64400000000000002</v>
      </c>
    </row>
    <row r="646" spans="1:14">
      <c r="A646" t="s">
        <v>775</v>
      </c>
      <c r="B646" t="s">
        <v>48</v>
      </c>
      <c r="C646" t="s">
        <v>49</v>
      </c>
      <c r="D646" t="s">
        <v>40</v>
      </c>
      <c r="E646" s="1">
        <v>46139</v>
      </c>
      <c r="F646">
        <v>174</v>
      </c>
      <c r="G646" t="s">
        <v>31</v>
      </c>
      <c r="H646">
        <v>150</v>
      </c>
      <c r="I646">
        <v>95</v>
      </c>
      <c r="J646">
        <v>333108.53000000003</v>
      </c>
      <c r="K646">
        <v>222448.75</v>
      </c>
      <c r="L646">
        <f t="shared" si="30"/>
        <v>110659.78000000003</v>
      </c>
      <c r="M646" t="str">
        <f t="shared" si="31"/>
        <v>2026-04</v>
      </c>
      <c r="N646">
        <f t="shared" si="32"/>
        <v>0.6333333333333333</v>
      </c>
    </row>
    <row r="647" spans="1:14">
      <c r="A647" t="s">
        <v>776</v>
      </c>
      <c r="B647" t="s">
        <v>307</v>
      </c>
      <c r="C647" t="s">
        <v>40</v>
      </c>
      <c r="D647" t="s">
        <v>45</v>
      </c>
      <c r="E647" s="1">
        <v>46080</v>
      </c>
      <c r="F647">
        <v>122</v>
      </c>
      <c r="G647" t="s">
        <v>35</v>
      </c>
      <c r="H647">
        <v>300</v>
      </c>
      <c r="I647">
        <v>242</v>
      </c>
      <c r="J647">
        <v>2627454.15</v>
      </c>
      <c r="K647">
        <v>244313.35</v>
      </c>
      <c r="L647">
        <f t="shared" si="30"/>
        <v>2383140.7999999998</v>
      </c>
      <c r="M647" t="str">
        <f t="shared" si="31"/>
        <v>2026-02</v>
      </c>
      <c r="N647">
        <f t="shared" si="32"/>
        <v>0.80666666666666664</v>
      </c>
    </row>
    <row r="648" spans="1:14">
      <c r="A648" t="s">
        <v>777</v>
      </c>
      <c r="B648" t="s">
        <v>137</v>
      </c>
      <c r="C648" t="s">
        <v>69</v>
      </c>
      <c r="D648" t="s">
        <v>34</v>
      </c>
      <c r="E648" s="1">
        <v>46211</v>
      </c>
      <c r="F648">
        <v>523</v>
      </c>
      <c r="G648" t="s">
        <v>35</v>
      </c>
      <c r="H648">
        <v>250</v>
      </c>
      <c r="I648">
        <v>51</v>
      </c>
      <c r="J648">
        <v>470727.78</v>
      </c>
      <c r="K648">
        <v>495618.88</v>
      </c>
      <c r="L648">
        <f t="shared" si="30"/>
        <v>-24891.099999999977</v>
      </c>
      <c r="M648" t="str">
        <f t="shared" si="31"/>
        <v>2026-07</v>
      </c>
      <c r="N648">
        <f t="shared" si="32"/>
        <v>0.20399999999999999</v>
      </c>
    </row>
    <row r="649" spans="1:14">
      <c r="A649" t="s">
        <v>778</v>
      </c>
      <c r="B649" t="s">
        <v>342</v>
      </c>
      <c r="C649" t="s">
        <v>30</v>
      </c>
      <c r="D649" t="s">
        <v>55</v>
      </c>
      <c r="E649" s="1">
        <v>46076</v>
      </c>
      <c r="F649">
        <v>237</v>
      </c>
      <c r="G649" t="s">
        <v>46</v>
      </c>
      <c r="H649">
        <v>250</v>
      </c>
      <c r="I649">
        <v>80</v>
      </c>
      <c r="J649">
        <v>330949.36</v>
      </c>
      <c r="K649">
        <v>405396.98</v>
      </c>
      <c r="L649">
        <f t="shared" si="30"/>
        <v>-74447.62</v>
      </c>
      <c r="M649" t="str">
        <f t="shared" si="31"/>
        <v>2026-02</v>
      </c>
      <c r="N649">
        <f t="shared" si="32"/>
        <v>0.32</v>
      </c>
    </row>
    <row r="650" spans="1:14">
      <c r="A650" t="s">
        <v>779</v>
      </c>
      <c r="B650" t="s">
        <v>51</v>
      </c>
      <c r="C650" t="s">
        <v>52</v>
      </c>
      <c r="D650" t="s">
        <v>30</v>
      </c>
      <c r="E650" s="1">
        <v>46297</v>
      </c>
      <c r="F650">
        <v>182</v>
      </c>
      <c r="G650" t="s">
        <v>46</v>
      </c>
      <c r="H650">
        <v>180</v>
      </c>
      <c r="I650">
        <v>156</v>
      </c>
      <c r="J650">
        <v>935816.02</v>
      </c>
      <c r="K650">
        <v>189357.54</v>
      </c>
      <c r="L650">
        <f t="shared" si="30"/>
        <v>746458.48</v>
      </c>
      <c r="M650" t="str">
        <f t="shared" si="31"/>
        <v>2026-10</v>
      </c>
      <c r="N650">
        <f t="shared" si="32"/>
        <v>0.8666666666666667</v>
      </c>
    </row>
    <row r="651" spans="1:14">
      <c r="A651" t="s">
        <v>780</v>
      </c>
      <c r="B651" t="s">
        <v>379</v>
      </c>
      <c r="C651" t="s">
        <v>44</v>
      </c>
      <c r="D651" t="s">
        <v>30</v>
      </c>
      <c r="E651" s="1">
        <v>46281</v>
      </c>
      <c r="F651">
        <v>275</v>
      </c>
      <c r="G651" t="s">
        <v>31</v>
      </c>
      <c r="H651">
        <v>150</v>
      </c>
      <c r="I651">
        <v>66</v>
      </c>
      <c r="J651">
        <v>268900</v>
      </c>
      <c r="K651">
        <v>296002.32</v>
      </c>
      <c r="L651">
        <f t="shared" si="30"/>
        <v>-27102.320000000007</v>
      </c>
      <c r="M651" t="str">
        <f t="shared" si="31"/>
        <v>2026-09</v>
      </c>
      <c r="N651">
        <f t="shared" si="32"/>
        <v>0.44</v>
      </c>
    </row>
    <row r="652" spans="1:14">
      <c r="A652" t="s">
        <v>781</v>
      </c>
      <c r="B652" t="s">
        <v>277</v>
      </c>
      <c r="C652" t="s">
        <v>45</v>
      </c>
      <c r="D652" t="s">
        <v>69</v>
      </c>
      <c r="E652" s="1">
        <v>46135</v>
      </c>
      <c r="F652">
        <v>359</v>
      </c>
      <c r="G652" t="s">
        <v>35</v>
      </c>
      <c r="H652">
        <v>180</v>
      </c>
      <c r="I652">
        <v>113</v>
      </c>
      <c r="J652">
        <v>605093.68999999994</v>
      </c>
      <c r="K652">
        <v>442915.94</v>
      </c>
      <c r="L652">
        <f t="shared" si="30"/>
        <v>162177.74999999994</v>
      </c>
      <c r="M652" t="str">
        <f t="shared" si="31"/>
        <v>2026-04</v>
      </c>
      <c r="N652">
        <f t="shared" si="32"/>
        <v>0.62777777777777777</v>
      </c>
    </row>
    <row r="653" spans="1:14">
      <c r="A653" t="s">
        <v>782</v>
      </c>
      <c r="B653" t="s">
        <v>51</v>
      </c>
      <c r="C653" t="s">
        <v>52</v>
      </c>
      <c r="D653" t="s">
        <v>30</v>
      </c>
      <c r="E653" s="1">
        <v>46096</v>
      </c>
      <c r="F653">
        <v>243</v>
      </c>
      <c r="G653" t="s">
        <v>31</v>
      </c>
      <c r="H653">
        <v>180</v>
      </c>
      <c r="I653">
        <v>178</v>
      </c>
      <c r="J653">
        <v>1516779.21</v>
      </c>
      <c r="K653">
        <v>244405.37</v>
      </c>
      <c r="L653">
        <f t="shared" si="30"/>
        <v>1272373.8399999999</v>
      </c>
      <c r="M653" t="str">
        <f t="shared" si="31"/>
        <v>2026-03</v>
      </c>
      <c r="N653">
        <f t="shared" si="32"/>
        <v>0.98888888888888893</v>
      </c>
    </row>
    <row r="654" spans="1:14">
      <c r="A654" t="s">
        <v>783</v>
      </c>
      <c r="B654" t="s">
        <v>51</v>
      </c>
      <c r="C654" t="s">
        <v>52</v>
      </c>
      <c r="D654" t="s">
        <v>30</v>
      </c>
      <c r="E654" s="1">
        <v>46211</v>
      </c>
      <c r="F654">
        <v>447</v>
      </c>
      <c r="G654" t="s">
        <v>41</v>
      </c>
      <c r="H654">
        <v>180</v>
      </c>
      <c r="I654">
        <v>180</v>
      </c>
      <c r="J654">
        <v>2359522.08</v>
      </c>
      <c r="K654">
        <v>551493.80000000005</v>
      </c>
      <c r="L654">
        <f t="shared" si="30"/>
        <v>1808028.28</v>
      </c>
      <c r="M654" t="str">
        <f t="shared" si="31"/>
        <v>2026-07</v>
      </c>
      <c r="N654">
        <f t="shared" si="32"/>
        <v>1</v>
      </c>
    </row>
    <row r="655" spans="1:14">
      <c r="A655" t="s">
        <v>784</v>
      </c>
      <c r="B655" t="s">
        <v>277</v>
      </c>
      <c r="C655" t="s">
        <v>45</v>
      </c>
      <c r="D655" t="s">
        <v>69</v>
      </c>
      <c r="E655" s="1">
        <v>46316</v>
      </c>
      <c r="F655">
        <v>326</v>
      </c>
      <c r="G655" t="s">
        <v>41</v>
      </c>
      <c r="H655">
        <v>150</v>
      </c>
      <c r="I655">
        <v>109</v>
      </c>
      <c r="J655">
        <v>1613721.27</v>
      </c>
      <c r="K655">
        <v>457235.11</v>
      </c>
      <c r="L655">
        <f t="shared" si="30"/>
        <v>1156486.1600000001</v>
      </c>
      <c r="M655" t="str">
        <f t="shared" si="31"/>
        <v>2026-10</v>
      </c>
      <c r="N655">
        <f t="shared" si="32"/>
        <v>0.72666666666666668</v>
      </c>
    </row>
    <row r="656" spans="1:14">
      <c r="A656" t="s">
        <v>785</v>
      </c>
      <c r="B656" t="s">
        <v>186</v>
      </c>
      <c r="C656" t="s">
        <v>49</v>
      </c>
      <c r="D656" t="s">
        <v>30</v>
      </c>
      <c r="E656" s="1">
        <v>46066</v>
      </c>
      <c r="F656">
        <v>203</v>
      </c>
      <c r="G656" t="s">
        <v>41</v>
      </c>
      <c r="H656">
        <v>150</v>
      </c>
      <c r="I656">
        <v>61</v>
      </c>
      <c r="J656">
        <v>659377.05000000005</v>
      </c>
      <c r="K656">
        <v>263773.39</v>
      </c>
      <c r="L656">
        <f t="shared" si="30"/>
        <v>395603.66000000003</v>
      </c>
      <c r="M656" t="str">
        <f t="shared" si="31"/>
        <v>2026-02</v>
      </c>
      <c r="N656">
        <f t="shared" si="32"/>
        <v>0.40666666666666668</v>
      </c>
    </row>
    <row r="657" spans="1:14">
      <c r="A657" t="s">
        <v>786</v>
      </c>
      <c r="B657" t="s">
        <v>530</v>
      </c>
      <c r="C657" t="s">
        <v>34</v>
      </c>
      <c r="D657" t="s">
        <v>45</v>
      </c>
      <c r="E657" s="1">
        <v>46227</v>
      </c>
      <c r="F657">
        <v>531</v>
      </c>
      <c r="G657" t="s">
        <v>46</v>
      </c>
      <c r="H657">
        <v>150</v>
      </c>
      <c r="I657">
        <v>144</v>
      </c>
      <c r="J657">
        <v>445838.07</v>
      </c>
      <c r="K657">
        <v>375846.31</v>
      </c>
      <c r="L657">
        <f t="shared" si="30"/>
        <v>69991.760000000009</v>
      </c>
      <c r="M657" t="str">
        <f t="shared" si="31"/>
        <v>2026-07</v>
      </c>
      <c r="N657">
        <f t="shared" si="32"/>
        <v>0.96</v>
      </c>
    </row>
    <row r="658" spans="1:14">
      <c r="A658" t="s">
        <v>787</v>
      </c>
      <c r="B658" t="s">
        <v>73</v>
      </c>
      <c r="C658" t="s">
        <v>29</v>
      </c>
      <c r="D658" t="s">
        <v>52</v>
      </c>
      <c r="E658" s="1">
        <v>46270</v>
      </c>
      <c r="F658">
        <v>179</v>
      </c>
      <c r="G658" t="s">
        <v>31</v>
      </c>
      <c r="H658">
        <v>150</v>
      </c>
      <c r="I658">
        <v>109</v>
      </c>
      <c r="J658">
        <v>1547794.88</v>
      </c>
      <c r="K658">
        <v>272100.42</v>
      </c>
      <c r="L658">
        <f t="shared" si="30"/>
        <v>1275694.46</v>
      </c>
      <c r="M658" t="str">
        <f t="shared" si="31"/>
        <v>2026-09</v>
      </c>
      <c r="N658">
        <f t="shared" si="32"/>
        <v>0.72666666666666668</v>
      </c>
    </row>
    <row r="659" spans="1:14">
      <c r="A659" t="s">
        <v>788</v>
      </c>
      <c r="B659" t="s">
        <v>165</v>
      </c>
      <c r="C659" t="s">
        <v>34</v>
      </c>
      <c r="D659" t="s">
        <v>29</v>
      </c>
      <c r="E659" s="1">
        <v>46154</v>
      </c>
      <c r="F659">
        <v>180</v>
      </c>
      <c r="G659" t="s">
        <v>41</v>
      </c>
      <c r="H659">
        <v>180</v>
      </c>
      <c r="I659">
        <v>171</v>
      </c>
      <c r="J659">
        <v>2454969</v>
      </c>
      <c r="K659">
        <v>232289.72</v>
      </c>
      <c r="L659">
        <f t="shared" si="30"/>
        <v>2222679.2799999998</v>
      </c>
      <c r="M659" t="str">
        <f t="shared" si="31"/>
        <v>2026-05</v>
      </c>
      <c r="N659">
        <f t="shared" si="32"/>
        <v>0.95</v>
      </c>
    </row>
    <row r="660" spans="1:14">
      <c r="A660" t="s">
        <v>789</v>
      </c>
      <c r="B660" t="s">
        <v>90</v>
      </c>
      <c r="C660" t="s">
        <v>40</v>
      </c>
      <c r="D660" t="s">
        <v>30</v>
      </c>
      <c r="E660" s="1">
        <v>46109</v>
      </c>
      <c r="F660">
        <v>141</v>
      </c>
      <c r="G660" t="s">
        <v>46</v>
      </c>
      <c r="H660">
        <v>250</v>
      </c>
      <c r="I660">
        <v>91</v>
      </c>
      <c r="J660">
        <v>534218.51</v>
      </c>
      <c r="K660">
        <v>273174.51</v>
      </c>
      <c r="L660">
        <f t="shared" si="30"/>
        <v>261044</v>
      </c>
      <c r="M660" t="str">
        <f t="shared" si="31"/>
        <v>2026-03</v>
      </c>
      <c r="N660">
        <f t="shared" si="32"/>
        <v>0.36399999999999999</v>
      </c>
    </row>
    <row r="661" spans="1:14">
      <c r="A661" t="s">
        <v>790</v>
      </c>
      <c r="B661" t="s">
        <v>102</v>
      </c>
      <c r="C661" t="s">
        <v>45</v>
      </c>
      <c r="D661" t="s">
        <v>55</v>
      </c>
      <c r="E661" s="1">
        <v>46248</v>
      </c>
      <c r="F661">
        <v>540</v>
      </c>
      <c r="G661" t="s">
        <v>46</v>
      </c>
      <c r="H661">
        <v>300</v>
      </c>
      <c r="I661">
        <v>250</v>
      </c>
      <c r="J661">
        <v>2671449.88</v>
      </c>
      <c r="K661">
        <v>518071.79</v>
      </c>
      <c r="L661">
        <f t="shared" si="30"/>
        <v>2153378.09</v>
      </c>
      <c r="M661" t="str">
        <f t="shared" si="31"/>
        <v>2026-08</v>
      </c>
      <c r="N661">
        <f t="shared" si="32"/>
        <v>0.83333333333333337</v>
      </c>
    </row>
    <row r="662" spans="1:14">
      <c r="A662" t="s">
        <v>791</v>
      </c>
      <c r="B662" t="s">
        <v>167</v>
      </c>
      <c r="C662" t="s">
        <v>30</v>
      </c>
      <c r="D662" t="s">
        <v>69</v>
      </c>
      <c r="E662" s="1">
        <v>46094</v>
      </c>
      <c r="F662">
        <v>580</v>
      </c>
      <c r="G662" t="s">
        <v>41</v>
      </c>
      <c r="H662">
        <v>150</v>
      </c>
      <c r="I662">
        <v>146</v>
      </c>
      <c r="J662">
        <v>545251.59</v>
      </c>
      <c r="K662">
        <v>604911.93000000005</v>
      </c>
      <c r="L662">
        <f t="shared" si="30"/>
        <v>-59660.340000000084</v>
      </c>
      <c r="M662" t="str">
        <f t="shared" si="31"/>
        <v>2026-03</v>
      </c>
      <c r="N662">
        <f t="shared" si="32"/>
        <v>0.97333333333333338</v>
      </c>
    </row>
    <row r="663" spans="1:14">
      <c r="A663" t="s">
        <v>792</v>
      </c>
      <c r="B663" t="s">
        <v>169</v>
      </c>
      <c r="C663" t="s">
        <v>34</v>
      </c>
      <c r="D663" t="s">
        <v>40</v>
      </c>
      <c r="E663" s="1">
        <v>46218</v>
      </c>
      <c r="F663">
        <v>409</v>
      </c>
      <c r="G663" t="s">
        <v>35</v>
      </c>
      <c r="H663">
        <v>250</v>
      </c>
      <c r="I663">
        <v>136</v>
      </c>
      <c r="J663">
        <v>1951339.21</v>
      </c>
      <c r="K663">
        <v>446575.87</v>
      </c>
      <c r="L663">
        <f t="shared" si="30"/>
        <v>1504763.3399999999</v>
      </c>
      <c r="M663" t="str">
        <f t="shared" si="31"/>
        <v>2026-07</v>
      </c>
      <c r="N663">
        <f t="shared" si="32"/>
        <v>0.54400000000000004</v>
      </c>
    </row>
    <row r="664" spans="1:14">
      <c r="A664" t="s">
        <v>793</v>
      </c>
      <c r="B664" t="s">
        <v>302</v>
      </c>
      <c r="C664" t="s">
        <v>30</v>
      </c>
      <c r="D664" t="s">
        <v>34</v>
      </c>
      <c r="E664" s="1">
        <v>46195</v>
      </c>
      <c r="F664">
        <v>63</v>
      </c>
      <c r="G664" t="s">
        <v>46</v>
      </c>
      <c r="H664">
        <v>300</v>
      </c>
      <c r="I664">
        <v>267</v>
      </c>
      <c r="J664">
        <v>3433199.99</v>
      </c>
      <c r="K664">
        <v>182759.98</v>
      </c>
      <c r="L664">
        <f t="shared" si="30"/>
        <v>3250440.0100000002</v>
      </c>
      <c r="M664" t="str">
        <f t="shared" si="31"/>
        <v>2026-06</v>
      </c>
      <c r="N664">
        <f t="shared" si="32"/>
        <v>0.89</v>
      </c>
    </row>
    <row r="665" spans="1:14">
      <c r="A665" t="s">
        <v>794</v>
      </c>
      <c r="B665" t="s">
        <v>51</v>
      </c>
      <c r="C665" t="s">
        <v>52</v>
      </c>
      <c r="D665" t="s">
        <v>30</v>
      </c>
      <c r="E665" s="1">
        <v>46210</v>
      </c>
      <c r="F665">
        <v>401</v>
      </c>
      <c r="G665" t="s">
        <v>46</v>
      </c>
      <c r="H665">
        <v>250</v>
      </c>
      <c r="I665">
        <v>165</v>
      </c>
      <c r="J665">
        <v>1568753.95</v>
      </c>
      <c r="K665">
        <v>367071.89</v>
      </c>
      <c r="L665">
        <f t="shared" si="30"/>
        <v>1201682.06</v>
      </c>
      <c r="M665" t="str">
        <f t="shared" si="31"/>
        <v>2026-07</v>
      </c>
      <c r="N665">
        <f t="shared" si="32"/>
        <v>0.66</v>
      </c>
    </row>
    <row r="666" spans="1:14">
      <c r="A666" t="s">
        <v>795</v>
      </c>
      <c r="B666" t="s">
        <v>379</v>
      </c>
      <c r="C666" t="s">
        <v>44</v>
      </c>
      <c r="D666" t="s">
        <v>30</v>
      </c>
      <c r="E666" s="1">
        <v>46119</v>
      </c>
      <c r="F666">
        <v>555</v>
      </c>
      <c r="G666" t="s">
        <v>31</v>
      </c>
      <c r="H666">
        <v>150</v>
      </c>
      <c r="I666">
        <v>71</v>
      </c>
      <c r="J666">
        <v>214094.33</v>
      </c>
      <c r="K666">
        <v>399181.87</v>
      </c>
      <c r="L666">
        <f t="shared" si="30"/>
        <v>-185087.54</v>
      </c>
      <c r="M666" t="str">
        <f t="shared" si="31"/>
        <v>2026-04</v>
      </c>
      <c r="N666">
        <f t="shared" si="32"/>
        <v>0.47333333333333333</v>
      </c>
    </row>
    <row r="667" spans="1:14">
      <c r="A667" t="s">
        <v>796</v>
      </c>
      <c r="B667" t="s">
        <v>79</v>
      </c>
      <c r="C667" t="s">
        <v>52</v>
      </c>
      <c r="D667" t="s">
        <v>45</v>
      </c>
      <c r="E667" s="1">
        <v>46028</v>
      </c>
      <c r="F667">
        <v>576</v>
      </c>
      <c r="G667" t="s">
        <v>31</v>
      </c>
      <c r="H667">
        <v>300</v>
      </c>
      <c r="I667">
        <v>67</v>
      </c>
      <c r="J667">
        <v>1003056.4</v>
      </c>
      <c r="K667">
        <v>795615.06</v>
      </c>
      <c r="L667">
        <f t="shared" si="30"/>
        <v>207441.33999999997</v>
      </c>
      <c r="M667" t="str">
        <f t="shared" si="31"/>
        <v>2026-01</v>
      </c>
      <c r="N667">
        <f t="shared" si="32"/>
        <v>0.22333333333333333</v>
      </c>
    </row>
    <row r="668" spans="1:14">
      <c r="A668" t="s">
        <v>797</v>
      </c>
      <c r="B668" t="s">
        <v>144</v>
      </c>
      <c r="C668" t="s">
        <v>49</v>
      </c>
      <c r="D668" t="s">
        <v>55</v>
      </c>
      <c r="E668" s="1">
        <v>46200</v>
      </c>
      <c r="F668">
        <v>154</v>
      </c>
      <c r="G668" t="s">
        <v>41</v>
      </c>
      <c r="H668">
        <v>250</v>
      </c>
      <c r="I668">
        <v>195</v>
      </c>
      <c r="J668">
        <v>2552080.39</v>
      </c>
      <c r="K668">
        <v>293375.63</v>
      </c>
      <c r="L668">
        <f t="shared" si="30"/>
        <v>2258704.7600000002</v>
      </c>
      <c r="M668" t="str">
        <f t="shared" si="31"/>
        <v>2026-06</v>
      </c>
      <c r="N668">
        <f t="shared" si="32"/>
        <v>0.78</v>
      </c>
    </row>
    <row r="669" spans="1:14">
      <c r="A669" t="s">
        <v>798</v>
      </c>
      <c r="B669" t="s">
        <v>186</v>
      </c>
      <c r="C669" t="s">
        <v>49</v>
      </c>
      <c r="D669" t="s">
        <v>30</v>
      </c>
      <c r="E669" s="1">
        <v>46060</v>
      </c>
      <c r="F669">
        <v>203</v>
      </c>
      <c r="G669" t="s">
        <v>35</v>
      </c>
      <c r="H669">
        <v>150</v>
      </c>
      <c r="I669">
        <v>150</v>
      </c>
      <c r="J669">
        <v>2198195.84</v>
      </c>
      <c r="K669">
        <v>238744.58</v>
      </c>
      <c r="L669">
        <f t="shared" si="30"/>
        <v>1959451.2599999998</v>
      </c>
      <c r="M669" t="str">
        <f t="shared" si="31"/>
        <v>2026-02</v>
      </c>
      <c r="N669">
        <f t="shared" si="32"/>
        <v>1</v>
      </c>
    </row>
    <row r="670" spans="1:14">
      <c r="A670" t="s">
        <v>799</v>
      </c>
      <c r="B670" t="s">
        <v>107</v>
      </c>
      <c r="C670" t="s">
        <v>30</v>
      </c>
      <c r="D670" t="s">
        <v>45</v>
      </c>
      <c r="E670" s="1">
        <v>46236</v>
      </c>
      <c r="F670">
        <v>499</v>
      </c>
      <c r="G670" t="s">
        <v>35</v>
      </c>
      <c r="H670">
        <v>150</v>
      </c>
      <c r="I670">
        <v>131</v>
      </c>
      <c r="J670">
        <v>1809651.22</v>
      </c>
      <c r="K670">
        <v>586708.68999999994</v>
      </c>
      <c r="L670">
        <f t="shared" si="30"/>
        <v>1222942.53</v>
      </c>
      <c r="M670" t="str">
        <f t="shared" si="31"/>
        <v>2026-08</v>
      </c>
      <c r="N670">
        <f t="shared" si="32"/>
        <v>0.87333333333333329</v>
      </c>
    </row>
    <row r="671" spans="1:14">
      <c r="A671" t="s">
        <v>800</v>
      </c>
      <c r="B671" t="s">
        <v>210</v>
      </c>
      <c r="C671" t="s">
        <v>55</v>
      </c>
      <c r="D671" t="s">
        <v>69</v>
      </c>
      <c r="E671" s="1">
        <v>46045</v>
      </c>
      <c r="F671">
        <v>296</v>
      </c>
      <c r="G671" t="s">
        <v>41</v>
      </c>
      <c r="H671">
        <v>250</v>
      </c>
      <c r="I671">
        <v>204</v>
      </c>
      <c r="J671">
        <v>670468.5</v>
      </c>
      <c r="K671">
        <v>366245.02</v>
      </c>
      <c r="L671">
        <f t="shared" si="30"/>
        <v>304223.48</v>
      </c>
      <c r="M671" t="str">
        <f t="shared" si="31"/>
        <v>2026-01</v>
      </c>
      <c r="N671">
        <f t="shared" si="32"/>
        <v>0.81599999999999995</v>
      </c>
    </row>
    <row r="672" spans="1:14">
      <c r="A672" t="s">
        <v>801</v>
      </c>
      <c r="B672" t="s">
        <v>57</v>
      </c>
      <c r="C672" t="s">
        <v>52</v>
      </c>
      <c r="D672" t="s">
        <v>49</v>
      </c>
      <c r="E672" s="1">
        <v>46071</v>
      </c>
      <c r="F672">
        <v>260</v>
      </c>
      <c r="G672" t="s">
        <v>35</v>
      </c>
      <c r="H672">
        <v>180</v>
      </c>
      <c r="I672">
        <v>169</v>
      </c>
      <c r="J672">
        <v>547666.9</v>
      </c>
      <c r="K672">
        <v>382065.46</v>
      </c>
      <c r="L672">
        <f t="shared" si="30"/>
        <v>165601.44</v>
      </c>
      <c r="M672" t="str">
        <f t="shared" si="31"/>
        <v>2026-02</v>
      </c>
      <c r="N672">
        <f t="shared" si="32"/>
        <v>0.93888888888888888</v>
      </c>
    </row>
    <row r="673" spans="1:14">
      <c r="A673" t="s">
        <v>802</v>
      </c>
      <c r="B673" t="s">
        <v>109</v>
      </c>
      <c r="C673" t="s">
        <v>30</v>
      </c>
      <c r="D673" t="s">
        <v>52</v>
      </c>
      <c r="E673" s="1">
        <v>46063</v>
      </c>
      <c r="F673">
        <v>313</v>
      </c>
      <c r="G673" t="s">
        <v>31</v>
      </c>
      <c r="H673">
        <v>250</v>
      </c>
      <c r="I673">
        <v>118</v>
      </c>
      <c r="J673">
        <v>777401.95</v>
      </c>
      <c r="K673">
        <v>350866.64</v>
      </c>
      <c r="L673">
        <f t="shared" si="30"/>
        <v>426535.30999999994</v>
      </c>
      <c r="M673" t="str">
        <f t="shared" si="31"/>
        <v>2026-02</v>
      </c>
      <c r="N673">
        <f t="shared" si="32"/>
        <v>0.47199999999999998</v>
      </c>
    </row>
    <row r="674" spans="1:14">
      <c r="A674" t="s">
        <v>803</v>
      </c>
      <c r="B674" t="s">
        <v>198</v>
      </c>
      <c r="C674" t="s">
        <v>45</v>
      </c>
      <c r="D674" t="s">
        <v>40</v>
      </c>
      <c r="E674" s="1">
        <v>46099</v>
      </c>
      <c r="F674">
        <v>347</v>
      </c>
      <c r="G674" t="s">
        <v>41</v>
      </c>
      <c r="H674">
        <v>250</v>
      </c>
      <c r="I674">
        <v>159</v>
      </c>
      <c r="J674">
        <v>2335973.87</v>
      </c>
      <c r="K674">
        <v>538079.11</v>
      </c>
      <c r="L674">
        <f t="shared" si="30"/>
        <v>1797894.7600000002</v>
      </c>
      <c r="M674" t="str">
        <f t="shared" si="31"/>
        <v>2026-03</v>
      </c>
      <c r="N674">
        <f t="shared" si="32"/>
        <v>0.63600000000000001</v>
      </c>
    </row>
    <row r="675" spans="1:14">
      <c r="A675" t="s">
        <v>804</v>
      </c>
      <c r="B675" t="s">
        <v>109</v>
      </c>
      <c r="C675" t="s">
        <v>30</v>
      </c>
      <c r="D675" t="s">
        <v>52</v>
      </c>
      <c r="E675" s="1">
        <v>46250</v>
      </c>
      <c r="F675">
        <v>222</v>
      </c>
      <c r="G675" t="s">
        <v>31</v>
      </c>
      <c r="H675">
        <v>300</v>
      </c>
      <c r="I675">
        <v>244</v>
      </c>
      <c r="J675">
        <v>1006229.02</v>
      </c>
      <c r="K675">
        <v>380361.09</v>
      </c>
      <c r="L675">
        <f t="shared" si="30"/>
        <v>625867.92999999993</v>
      </c>
      <c r="M675" t="str">
        <f t="shared" si="31"/>
        <v>2026-08</v>
      </c>
      <c r="N675">
        <f t="shared" si="32"/>
        <v>0.81333333333333335</v>
      </c>
    </row>
    <row r="676" spans="1:14">
      <c r="A676" t="s">
        <v>805</v>
      </c>
      <c r="B676" t="s">
        <v>33</v>
      </c>
      <c r="C676" t="s">
        <v>29</v>
      </c>
      <c r="D676" t="s">
        <v>34</v>
      </c>
      <c r="E676" s="1">
        <v>46169</v>
      </c>
      <c r="F676">
        <v>318</v>
      </c>
      <c r="G676" t="s">
        <v>35</v>
      </c>
      <c r="H676">
        <v>250</v>
      </c>
      <c r="I676">
        <v>192</v>
      </c>
      <c r="J676">
        <v>868248.41</v>
      </c>
      <c r="K676">
        <v>386824.55</v>
      </c>
      <c r="L676">
        <f t="shared" si="30"/>
        <v>481423.86000000004</v>
      </c>
      <c r="M676" t="str">
        <f t="shared" si="31"/>
        <v>2026-05</v>
      </c>
      <c r="N676">
        <f t="shared" si="32"/>
        <v>0.76800000000000002</v>
      </c>
    </row>
    <row r="677" spans="1:14">
      <c r="A677" t="s">
        <v>806</v>
      </c>
      <c r="B677" t="s">
        <v>94</v>
      </c>
      <c r="C677" t="s">
        <v>34</v>
      </c>
      <c r="D677" t="s">
        <v>30</v>
      </c>
      <c r="E677" s="1">
        <v>46113</v>
      </c>
      <c r="F677">
        <v>163</v>
      </c>
      <c r="G677" t="s">
        <v>35</v>
      </c>
      <c r="H677">
        <v>250</v>
      </c>
      <c r="I677">
        <v>132</v>
      </c>
      <c r="J677">
        <v>1273823.1100000001</v>
      </c>
      <c r="K677">
        <v>293447.93</v>
      </c>
      <c r="L677">
        <f t="shared" si="30"/>
        <v>980375.18000000017</v>
      </c>
      <c r="M677" t="str">
        <f t="shared" si="31"/>
        <v>2026-04</v>
      </c>
      <c r="N677">
        <f t="shared" si="32"/>
        <v>0.52800000000000002</v>
      </c>
    </row>
    <row r="678" spans="1:14">
      <c r="A678" t="s">
        <v>807</v>
      </c>
      <c r="B678" t="s">
        <v>92</v>
      </c>
      <c r="C678" t="s">
        <v>44</v>
      </c>
      <c r="D678" t="s">
        <v>69</v>
      </c>
      <c r="E678" s="1">
        <v>46134</v>
      </c>
      <c r="F678">
        <v>224</v>
      </c>
      <c r="G678" t="s">
        <v>31</v>
      </c>
      <c r="H678">
        <v>250</v>
      </c>
      <c r="I678">
        <v>119</v>
      </c>
      <c r="J678">
        <v>1674055.5</v>
      </c>
      <c r="K678">
        <v>303780.05</v>
      </c>
      <c r="L678">
        <f t="shared" si="30"/>
        <v>1370275.45</v>
      </c>
      <c r="M678" t="str">
        <f t="shared" si="31"/>
        <v>2026-04</v>
      </c>
      <c r="N678">
        <f t="shared" si="32"/>
        <v>0.47599999999999998</v>
      </c>
    </row>
    <row r="679" spans="1:14">
      <c r="A679" t="s">
        <v>808</v>
      </c>
      <c r="B679" t="s">
        <v>79</v>
      </c>
      <c r="C679" t="s">
        <v>52</v>
      </c>
      <c r="D679" t="s">
        <v>45</v>
      </c>
      <c r="E679" s="1">
        <v>46205</v>
      </c>
      <c r="F679">
        <v>242</v>
      </c>
      <c r="G679" t="s">
        <v>31</v>
      </c>
      <c r="H679">
        <v>250</v>
      </c>
      <c r="I679">
        <v>237</v>
      </c>
      <c r="J679">
        <v>2211086.1800000002</v>
      </c>
      <c r="K679">
        <v>269906.76</v>
      </c>
      <c r="L679">
        <f t="shared" si="30"/>
        <v>1941179.4200000002</v>
      </c>
      <c r="M679" t="str">
        <f t="shared" si="31"/>
        <v>2026-07</v>
      </c>
      <c r="N679">
        <f t="shared" si="32"/>
        <v>0.94799999999999995</v>
      </c>
    </row>
    <row r="680" spans="1:14">
      <c r="A680" t="s">
        <v>809</v>
      </c>
      <c r="B680" t="s">
        <v>220</v>
      </c>
      <c r="C680" t="s">
        <v>34</v>
      </c>
      <c r="D680" t="s">
        <v>49</v>
      </c>
      <c r="E680" s="1">
        <v>46050</v>
      </c>
      <c r="F680">
        <v>131</v>
      </c>
      <c r="G680" t="s">
        <v>46</v>
      </c>
      <c r="H680">
        <v>300</v>
      </c>
      <c r="I680">
        <v>161</v>
      </c>
      <c r="J680">
        <v>1785549.81</v>
      </c>
      <c r="K680">
        <v>227739.1</v>
      </c>
      <c r="L680">
        <f t="shared" si="30"/>
        <v>1557810.71</v>
      </c>
      <c r="M680" t="str">
        <f t="shared" si="31"/>
        <v>2026-01</v>
      </c>
      <c r="N680">
        <f t="shared" si="32"/>
        <v>0.53666666666666663</v>
      </c>
    </row>
    <row r="681" spans="1:14">
      <c r="A681" t="s">
        <v>810</v>
      </c>
      <c r="B681" t="s">
        <v>202</v>
      </c>
      <c r="C681" t="s">
        <v>29</v>
      </c>
      <c r="D681" t="s">
        <v>55</v>
      </c>
      <c r="E681" s="1">
        <v>46320</v>
      </c>
      <c r="F681">
        <v>479</v>
      </c>
      <c r="G681" t="s">
        <v>41</v>
      </c>
      <c r="H681">
        <v>300</v>
      </c>
      <c r="I681">
        <v>186</v>
      </c>
      <c r="J681">
        <v>2377871.52</v>
      </c>
      <c r="K681">
        <v>687688.58</v>
      </c>
      <c r="L681">
        <f t="shared" si="30"/>
        <v>1690182.94</v>
      </c>
      <c r="M681" t="str">
        <f t="shared" si="31"/>
        <v>2026-10</v>
      </c>
      <c r="N681">
        <f t="shared" si="32"/>
        <v>0.62</v>
      </c>
    </row>
    <row r="682" spans="1:14">
      <c r="A682" t="s">
        <v>811</v>
      </c>
      <c r="B682" t="s">
        <v>230</v>
      </c>
      <c r="C682" t="s">
        <v>49</v>
      </c>
      <c r="D682" t="s">
        <v>34</v>
      </c>
      <c r="E682" s="1">
        <v>46138</v>
      </c>
      <c r="F682">
        <v>586</v>
      </c>
      <c r="G682" t="s">
        <v>35</v>
      </c>
      <c r="H682">
        <v>300</v>
      </c>
      <c r="I682">
        <v>62</v>
      </c>
      <c r="J682">
        <v>477303.6</v>
      </c>
      <c r="K682">
        <v>735604.57</v>
      </c>
      <c r="L682">
        <f t="shared" si="30"/>
        <v>-258300.96999999997</v>
      </c>
      <c r="M682" t="str">
        <f t="shared" si="31"/>
        <v>2026-04</v>
      </c>
      <c r="N682">
        <f t="shared" si="32"/>
        <v>0.20666666666666667</v>
      </c>
    </row>
    <row r="683" spans="1:14">
      <c r="A683" t="s">
        <v>812</v>
      </c>
      <c r="B683" t="s">
        <v>226</v>
      </c>
      <c r="C683" t="s">
        <v>69</v>
      </c>
      <c r="D683" t="s">
        <v>55</v>
      </c>
      <c r="E683" s="1">
        <v>46109</v>
      </c>
      <c r="F683">
        <v>497</v>
      </c>
      <c r="G683" t="s">
        <v>41</v>
      </c>
      <c r="H683">
        <v>180</v>
      </c>
      <c r="I683">
        <v>114</v>
      </c>
      <c r="J683">
        <v>750413.56</v>
      </c>
      <c r="K683">
        <v>659870.24</v>
      </c>
      <c r="L683">
        <f t="shared" si="30"/>
        <v>90543.320000000065</v>
      </c>
      <c r="M683" t="str">
        <f t="shared" si="31"/>
        <v>2026-03</v>
      </c>
      <c r="N683">
        <f t="shared" si="32"/>
        <v>0.6333333333333333</v>
      </c>
    </row>
    <row r="684" spans="1:14">
      <c r="A684" t="s">
        <v>813</v>
      </c>
      <c r="B684" t="s">
        <v>62</v>
      </c>
      <c r="C684" t="s">
        <v>52</v>
      </c>
      <c r="D684" t="s">
        <v>40</v>
      </c>
      <c r="E684" s="1">
        <v>46088</v>
      </c>
      <c r="F684">
        <v>287</v>
      </c>
      <c r="G684" t="s">
        <v>41</v>
      </c>
      <c r="H684">
        <v>300</v>
      </c>
      <c r="I684">
        <v>109</v>
      </c>
      <c r="J684">
        <v>702155</v>
      </c>
      <c r="K684">
        <v>352490.75</v>
      </c>
      <c r="L684">
        <f t="shared" si="30"/>
        <v>349664.25</v>
      </c>
      <c r="M684" t="str">
        <f t="shared" si="31"/>
        <v>2026-03</v>
      </c>
      <c r="N684">
        <f t="shared" si="32"/>
        <v>0.36333333333333334</v>
      </c>
    </row>
    <row r="685" spans="1:14">
      <c r="A685" t="s">
        <v>814</v>
      </c>
      <c r="B685" t="s">
        <v>37</v>
      </c>
      <c r="C685" t="s">
        <v>30</v>
      </c>
      <c r="D685" t="s">
        <v>29</v>
      </c>
      <c r="E685" s="1">
        <v>46055</v>
      </c>
      <c r="F685">
        <v>319</v>
      </c>
      <c r="G685" t="s">
        <v>46</v>
      </c>
      <c r="H685">
        <v>250</v>
      </c>
      <c r="I685">
        <v>140</v>
      </c>
      <c r="J685">
        <v>1641580.41</v>
      </c>
      <c r="K685">
        <v>284660.07</v>
      </c>
      <c r="L685">
        <f t="shared" si="30"/>
        <v>1356920.3399999999</v>
      </c>
      <c r="M685" t="str">
        <f t="shared" si="31"/>
        <v>2026-02</v>
      </c>
      <c r="N685">
        <f t="shared" si="32"/>
        <v>0.56000000000000005</v>
      </c>
    </row>
    <row r="686" spans="1:14">
      <c r="A686" t="s">
        <v>815</v>
      </c>
      <c r="B686" t="s">
        <v>75</v>
      </c>
      <c r="C686" t="s">
        <v>55</v>
      </c>
      <c r="D686" t="s">
        <v>30</v>
      </c>
      <c r="E686" s="1">
        <v>46256</v>
      </c>
      <c r="F686">
        <v>234</v>
      </c>
      <c r="G686" t="s">
        <v>35</v>
      </c>
      <c r="H686">
        <v>150</v>
      </c>
      <c r="I686">
        <v>150</v>
      </c>
      <c r="J686">
        <v>2233282.61</v>
      </c>
      <c r="K686">
        <v>232559.68</v>
      </c>
      <c r="L686">
        <f t="shared" si="30"/>
        <v>2000722.93</v>
      </c>
      <c r="M686" t="str">
        <f t="shared" si="31"/>
        <v>2026-08</v>
      </c>
      <c r="N686">
        <f t="shared" si="32"/>
        <v>1</v>
      </c>
    </row>
    <row r="687" spans="1:14">
      <c r="A687" t="s">
        <v>816</v>
      </c>
      <c r="B687" t="s">
        <v>357</v>
      </c>
      <c r="C687" t="s">
        <v>55</v>
      </c>
      <c r="D687" t="s">
        <v>52</v>
      </c>
      <c r="E687" s="1">
        <v>46239</v>
      </c>
      <c r="F687">
        <v>90</v>
      </c>
      <c r="G687" t="s">
        <v>41</v>
      </c>
      <c r="H687">
        <v>250</v>
      </c>
      <c r="I687">
        <v>173</v>
      </c>
      <c r="J687">
        <v>1815197.72</v>
      </c>
      <c r="K687">
        <v>211157.24</v>
      </c>
      <c r="L687">
        <f t="shared" si="30"/>
        <v>1604040.48</v>
      </c>
      <c r="M687" t="str">
        <f t="shared" si="31"/>
        <v>2026-08</v>
      </c>
      <c r="N687">
        <f t="shared" si="32"/>
        <v>0.69199999999999995</v>
      </c>
    </row>
    <row r="688" spans="1:14">
      <c r="A688" t="s">
        <v>817</v>
      </c>
      <c r="B688" t="s">
        <v>147</v>
      </c>
      <c r="C688" t="s">
        <v>29</v>
      </c>
      <c r="D688" t="s">
        <v>49</v>
      </c>
      <c r="E688" s="1">
        <v>46057</v>
      </c>
      <c r="F688">
        <v>326</v>
      </c>
      <c r="G688" t="s">
        <v>41</v>
      </c>
      <c r="H688">
        <v>300</v>
      </c>
      <c r="I688">
        <v>170</v>
      </c>
      <c r="J688">
        <v>1310459.49</v>
      </c>
      <c r="K688">
        <v>405470.09</v>
      </c>
      <c r="L688">
        <f t="shared" si="30"/>
        <v>904989.39999999991</v>
      </c>
      <c r="M688" t="str">
        <f t="shared" si="31"/>
        <v>2026-02</v>
      </c>
      <c r="N688">
        <f t="shared" si="32"/>
        <v>0.56666666666666665</v>
      </c>
    </row>
    <row r="689" spans="1:14">
      <c r="A689" t="s">
        <v>818</v>
      </c>
      <c r="B689" t="s">
        <v>184</v>
      </c>
      <c r="C689" t="s">
        <v>29</v>
      </c>
      <c r="D689" t="s">
        <v>44</v>
      </c>
      <c r="E689" s="1">
        <v>46251</v>
      </c>
      <c r="F689">
        <v>145</v>
      </c>
      <c r="G689" t="s">
        <v>46</v>
      </c>
      <c r="H689">
        <v>300</v>
      </c>
      <c r="I689">
        <v>194</v>
      </c>
      <c r="J689">
        <v>1678682.92</v>
      </c>
      <c r="K689">
        <v>264231.62</v>
      </c>
      <c r="L689">
        <f t="shared" si="30"/>
        <v>1414451.2999999998</v>
      </c>
      <c r="M689" t="str">
        <f t="shared" si="31"/>
        <v>2026-08</v>
      </c>
      <c r="N689">
        <f t="shared" si="32"/>
        <v>0.64666666666666661</v>
      </c>
    </row>
    <row r="690" spans="1:14">
      <c r="A690" t="s">
        <v>819</v>
      </c>
      <c r="B690" t="s">
        <v>205</v>
      </c>
      <c r="C690" t="s">
        <v>52</v>
      </c>
      <c r="D690" t="s">
        <v>44</v>
      </c>
      <c r="E690" s="1">
        <v>46186</v>
      </c>
      <c r="F690">
        <v>228</v>
      </c>
      <c r="G690" t="s">
        <v>46</v>
      </c>
      <c r="H690">
        <v>180</v>
      </c>
      <c r="I690">
        <v>64</v>
      </c>
      <c r="J690">
        <v>834472.24</v>
      </c>
      <c r="K690">
        <v>285763.14</v>
      </c>
      <c r="L690">
        <f t="shared" si="30"/>
        <v>548709.1</v>
      </c>
      <c r="M690" t="str">
        <f t="shared" si="31"/>
        <v>2026-06</v>
      </c>
      <c r="N690">
        <f t="shared" si="32"/>
        <v>0.35555555555555557</v>
      </c>
    </row>
    <row r="691" spans="1:14">
      <c r="A691" t="s">
        <v>820</v>
      </c>
      <c r="B691" t="s">
        <v>414</v>
      </c>
      <c r="C691" t="s">
        <v>40</v>
      </c>
      <c r="D691" t="s">
        <v>52</v>
      </c>
      <c r="E691" s="1">
        <v>46245</v>
      </c>
      <c r="F691">
        <v>440</v>
      </c>
      <c r="G691" t="s">
        <v>35</v>
      </c>
      <c r="H691">
        <v>300</v>
      </c>
      <c r="I691">
        <v>234</v>
      </c>
      <c r="J691">
        <v>1590382.14</v>
      </c>
      <c r="K691">
        <v>669728.56999999995</v>
      </c>
      <c r="L691">
        <f t="shared" si="30"/>
        <v>920653.57</v>
      </c>
      <c r="M691" t="str">
        <f t="shared" si="31"/>
        <v>2026-08</v>
      </c>
      <c r="N691">
        <f t="shared" si="32"/>
        <v>0.78</v>
      </c>
    </row>
    <row r="692" spans="1:14">
      <c r="A692" t="s">
        <v>821</v>
      </c>
      <c r="B692" t="s">
        <v>357</v>
      </c>
      <c r="C692" t="s">
        <v>55</v>
      </c>
      <c r="D692" t="s">
        <v>52</v>
      </c>
      <c r="E692" s="1">
        <v>46063</v>
      </c>
      <c r="F692">
        <v>355</v>
      </c>
      <c r="G692" t="s">
        <v>31</v>
      </c>
      <c r="H692">
        <v>150</v>
      </c>
      <c r="I692">
        <v>115</v>
      </c>
      <c r="J692">
        <v>1547345.27</v>
      </c>
      <c r="K692">
        <v>256338.69</v>
      </c>
      <c r="L692">
        <f t="shared" si="30"/>
        <v>1291006.58</v>
      </c>
      <c r="M692" t="str">
        <f t="shared" si="31"/>
        <v>2026-02</v>
      </c>
      <c r="N692">
        <f t="shared" si="32"/>
        <v>0.76666666666666672</v>
      </c>
    </row>
    <row r="693" spans="1:14">
      <c r="A693" t="s">
        <v>822</v>
      </c>
      <c r="B693" t="s">
        <v>122</v>
      </c>
      <c r="C693" t="s">
        <v>29</v>
      </c>
      <c r="D693" t="s">
        <v>45</v>
      </c>
      <c r="E693" s="1">
        <v>46238</v>
      </c>
      <c r="F693">
        <v>151</v>
      </c>
      <c r="G693" t="s">
        <v>31</v>
      </c>
      <c r="H693">
        <v>250</v>
      </c>
      <c r="I693">
        <v>212</v>
      </c>
      <c r="J693">
        <v>1170360.43</v>
      </c>
      <c r="K693">
        <v>242154.64</v>
      </c>
      <c r="L693">
        <f t="shared" si="30"/>
        <v>928205.78999999992</v>
      </c>
      <c r="M693" t="str">
        <f t="shared" si="31"/>
        <v>2026-08</v>
      </c>
      <c r="N693">
        <f t="shared" si="32"/>
        <v>0.84799999999999998</v>
      </c>
    </row>
    <row r="694" spans="1:14">
      <c r="A694" t="s">
        <v>823</v>
      </c>
      <c r="B694" t="s">
        <v>246</v>
      </c>
      <c r="C694" t="s">
        <v>52</v>
      </c>
      <c r="D694" t="s">
        <v>69</v>
      </c>
      <c r="E694" s="1">
        <v>46306</v>
      </c>
      <c r="F694">
        <v>418</v>
      </c>
      <c r="G694" t="s">
        <v>41</v>
      </c>
      <c r="H694">
        <v>180</v>
      </c>
      <c r="I694">
        <v>70</v>
      </c>
      <c r="J694">
        <v>953338.47</v>
      </c>
      <c r="K694">
        <v>467836.17</v>
      </c>
      <c r="L694">
        <f t="shared" si="30"/>
        <v>485502.3</v>
      </c>
      <c r="M694" t="str">
        <f t="shared" si="31"/>
        <v>2026-10</v>
      </c>
      <c r="N694">
        <f t="shared" si="32"/>
        <v>0.3888888888888889</v>
      </c>
    </row>
    <row r="695" spans="1:14">
      <c r="A695" t="s">
        <v>824</v>
      </c>
      <c r="B695" t="s">
        <v>109</v>
      </c>
      <c r="C695" t="s">
        <v>30</v>
      </c>
      <c r="D695" t="s">
        <v>52</v>
      </c>
      <c r="E695" s="1">
        <v>46110</v>
      </c>
      <c r="F695">
        <v>468</v>
      </c>
      <c r="G695" t="s">
        <v>31</v>
      </c>
      <c r="H695">
        <v>250</v>
      </c>
      <c r="I695">
        <v>141</v>
      </c>
      <c r="J695">
        <v>1255829.78</v>
      </c>
      <c r="K695">
        <v>647501.13</v>
      </c>
      <c r="L695">
        <f t="shared" si="30"/>
        <v>608328.65</v>
      </c>
      <c r="M695" t="str">
        <f t="shared" si="31"/>
        <v>2026-03</v>
      </c>
      <c r="N695">
        <f t="shared" si="32"/>
        <v>0.56399999999999995</v>
      </c>
    </row>
    <row r="696" spans="1:14">
      <c r="A696" t="s">
        <v>825</v>
      </c>
      <c r="B696" t="s">
        <v>37</v>
      </c>
      <c r="C696" t="s">
        <v>30</v>
      </c>
      <c r="D696" t="s">
        <v>29</v>
      </c>
      <c r="E696" s="1">
        <v>46048</v>
      </c>
      <c r="F696">
        <v>488</v>
      </c>
      <c r="G696" t="s">
        <v>31</v>
      </c>
      <c r="H696">
        <v>150</v>
      </c>
      <c r="I696">
        <v>146</v>
      </c>
      <c r="J696">
        <v>1202300.27</v>
      </c>
      <c r="K696">
        <v>651018.41</v>
      </c>
      <c r="L696">
        <f t="shared" si="30"/>
        <v>551281.86</v>
      </c>
      <c r="M696" t="str">
        <f t="shared" si="31"/>
        <v>2026-01</v>
      </c>
      <c r="N696">
        <f t="shared" si="32"/>
        <v>0.97333333333333338</v>
      </c>
    </row>
    <row r="697" spans="1:14">
      <c r="A697" t="s">
        <v>826</v>
      </c>
      <c r="B697" t="s">
        <v>75</v>
      </c>
      <c r="C697" t="s">
        <v>55</v>
      </c>
      <c r="D697" t="s">
        <v>30</v>
      </c>
      <c r="E697" s="1">
        <v>46177</v>
      </c>
      <c r="F697">
        <v>540</v>
      </c>
      <c r="G697" t="s">
        <v>35</v>
      </c>
      <c r="H697">
        <v>180</v>
      </c>
      <c r="I697">
        <v>149</v>
      </c>
      <c r="J697">
        <v>1822420</v>
      </c>
      <c r="K697">
        <v>585561.29</v>
      </c>
      <c r="L697">
        <f t="shared" si="30"/>
        <v>1236858.71</v>
      </c>
      <c r="M697" t="str">
        <f t="shared" si="31"/>
        <v>2026-06</v>
      </c>
      <c r="N697">
        <f t="shared" si="32"/>
        <v>0.82777777777777772</v>
      </c>
    </row>
    <row r="698" spans="1:14">
      <c r="A698" t="s">
        <v>827</v>
      </c>
      <c r="B698" t="s">
        <v>28</v>
      </c>
      <c r="C698" t="s">
        <v>29</v>
      </c>
      <c r="D698" t="s">
        <v>30</v>
      </c>
      <c r="E698" s="1">
        <v>46229</v>
      </c>
      <c r="F698">
        <v>523</v>
      </c>
      <c r="G698" t="s">
        <v>35</v>
      </c>
      <c r="H698">
        <v>250</v>
      </c>
      <c r="I698">
        <v>59</v>
      </c>
      <c r="J698">
        <v>635658.18999999994</v>
      </c>
      <c r="K698">
        <v>463210.63</v>
      </c>
      <c r="L698">
        <f t="shared" si="30"/>
        <v>172447.55999999994</v>
      </c>
      <c r="M698" t="str">
        <f t="shared" si="31"/>
        <v>2026-07</v>
      </c>
      <c r="N698">
        <f t="shared" si="32"/>
        <v>0.23599999999999999</v>
      </c>
    </row>
    <row r="699" spans="1:14">
      <c r="A699" t="s">
        <v>828</v>
      </c>
      <c r="B699" t="s">
        <v>165</v>
      </c>
      <c r="C699" t="s">
        <v>34</v>
      </c>
      <c r="D699" t="s">
        <v>29</v>
      </c>
      <c r="E699" s="1">
        <v>46179</v>
      </c>
      <c r="F699">
        <v>522</v>
      </c>
      <c r="G699" t="s">
        <v>31</v>
      </c>
      <c r="H699">
        <v>300</v>
      </c>
      <c r="I699">
        <v>87</v>
      </c>
      <c r="J699">
        <v>1194100.25</v>
      </c>
      <c r="K699">
        <v>604592.23</v>
      </c>
      <c r="L699">
        <f t="shared" si="30"/>
        <v>589508.02</v>
      </c>
      <c r="M699" t="str">
        <f t="shared" si="31"/>
        <v>2026-06</v>
      </c>
      <c r="N699">
        <f t="shared" si="32"/>
        <v>0.28999999999999998</v>
      </c>
    </row>
    <row r="700" spans="1:14">
      <c r="A700" t="s">
        <v>829</v>
      </c>
      <c r="B700" t="s">
        <v>240</v>
      </c>
      <c r="C700" t="s">
        <v>55</v>
      </c>
      <c r="D700" t="s">
        <v>40</v>
      </c>
      <c r="E700" s="1">
        <v>46150</v>
      </c>
      <c r="F700">
        <v>192</v>
      </c>
      <c r="G700" t="s">
        <v>31</v>
      </c>
      <c r="H700">
        <v>150</v>
      </c>
      <c r="I700">
        <v>79</v>
      </c>
      <c r="J700">
        <v>809715.84</v>
      </c>
      <c r="K700">
        <v>296773.62</v>
      </c>
      <c r="L700">
        <f t="shared" si="30"/>
        <v>512942.22</v>
      </c>
      <c r="M700" t="str">
        <f t="shared" si="31"/>
        <v>2026-05</v>
      </c>
      <c r="N700">
        <f t="shared" si="32"/>
        <v>0.52666666666666662</v>
      </c>
    </row>
    <row r="701" spans="1:14">
      <c r="A701" t="s">
        <v>830</v>
      </c>
      <c r="B701" t="s">
        <v>192</v>
      </c>
      <c r="C701" t="s">
        <v>49</v>
      </c>
      <c r="D701" t="s">
        <v>44</v>
      </c>
      <c r="E701" s="1">
        <v>46071</v>
      </c>
      <c r="F701">
        <v>560</v>
      </c>
      <c r="G701" t="s">
        <v>41</v>
      </c>
      <c r="H701">
        <v>180</v>
      </c>
      <c r="I701">
        <v>126</v>
      </c>
      <c r="J701">
        <v>1450281.22</v>
      </c>
      <c r="K701">
        <v>448533.21</v>
      </c>
      <c r="L701">
        <f t="shared" si="30"/>
        <v>1001748.01</v>
      </c>
      <c r="M701" t="str">
        <f t="shared" si="31"/>
        <v>2026-02</v>
      </c>
      <c r="N701">
        <f t="shared" si="32"/>
        <v>0.7</v>
      </c>
    </row>
    <row r="702" spans="1:14">
      <c r="A702" t="s">
        <v>831</v>
      </c>
      <c r="B702" t="s">
        <v>79</v>
      </c>
      <c r="C702" t="s">
        <v>52</v>
      </c>
      <c r="D702" t="s">
        <v>45</v>
      </c>
      <c r="E702" s="1">
        <v>46083</v>
      </c>
      <c r="F702">
        <v>497</v>
      </c>
      <c r="G702" t="s">
        <v>35</v>
      </c>
      <c r="H702">
        <v>150</v>
      </c>
      <c r="I702">
        <v>144</v>
      </c>
      <c r="J702">
        <v>1563452.5</v>
      </c>
      <c r="K702">
        <v>402969.35</v>
      </c>
      <c r="L702">
        <f t="shared" si="30"/>
        <v>1160483.1499999999</v>
      </c>
      <c r="M702" t="str">
        <f t="shared" si="31"/>
        <v>2026-03</v>
      </c>
      <c r="N702">
        <f t="shared" si="32"/>
        <v>0.96</v>
      </c>
    </row>
    <row r="703" spans="1:14">
      <c r="A703" t="s">
        <v>832</v>
      </c>
      <c r="B703" t="s">
        <v>414</v>
      </c>
      <c r="C703" t="s">
        <v>40</v>
      </c>
      <c r="D703" t="s">
        <v>52</v>
      </c>
      <c r="E703" s="1">
        <v>46271</v>
      </c>
      <c r="F703">
        <v>557</v>
      </c>
      <c r="G703" t="s">
        <v>35</v>
      </c>
      <c r="H703">
        <v>150</v>
      </c>
      <c r="I703">
        <v>79</v>
      </c>
      <c r="J703">
        <v>524714.43000000005</v>
      </c>
      <c r="K703">
        <v>488149.62</v>
      </c>
      <c r="L703">
        <f t="shared" si="30"/>
        <v>36564.810000000056</v>
      </c>
      <c r="M703" t="str">
        <f t="shared" si="31"/>
        <v>2026-09</v>
      </c>
      <c r="N703">
        <f t="shared" si="32"/>
        <v>0.52666666666666662</v>
      </c>
    </row>
    <row r="704" spans="1:14">
      <c r="A704" t="s">
        <v>833</v>
      </c>
      <c r="B704" t="s">
        <v>506</v>
      </c>
      <c r="C704" t="s">
        <v>55</v>
      </c>
      <c r="D704" t="s">
        <v>34</v>
      </c>
      <c r="E704" s="1">
        <v>46309</v>
      </c>
      <c r="F704">
        <v>564</v>
      </c>
      <c r="G704" t="s">
        <v>46</v>
      </c>
      <c r="H704">
        <v>300</v>
      </c>
      <c r="I704">
        <v>290</v>
      </c>
      <c r="J704">
        <v>3085691.34</v>
      </c>
      <c r="K704">
        <v>519344.69</v>
      </c>
      <c r="L704">
        <f t="shared" si="30"/>
        <v>2566346.65</v>
      </c>
      <c r="M704" t="str">
        <f t="shared" si="31"/>
        <v>2026-10</v>
      </c>
      <c r="N704">
        <f t="shared" si="32"/>
        <v>0.96666666666666667</v>
      </c>
    </row>
    <row r="705" spans="1:14">
      <c r="A705" t="s">
        <v>834</v>
      </c>
      <c r="B705" t="s">
        <v>64</v>
      </c>
      <c r="C705" t="s">
        <v>34</v>
      </c>
      <c r="D705" t="s">
        <v>55</v>
      </c>
      <c r="E705" s="1">
        <v>46224</v>
      </c>
      <c r="F705">
        <v>475</v>
      </c>
      <c r="G705" t="s">
        <v>35</v>
      </c>
      <c r="H705">
        <v>180</v>
      </c>
      <c r="I705">
        <v>78</v>
      </c>
      <c r="J705">
        <v>659339.29</v>
      </c>
      <c r="K705">
        <v>575260.65</v>
      </c>
      <c r="L705">
        <f t="shared" si="30"/>
        <v>84078.640000000014</v>
      </c>
      <c r="M705" t="str">
        <f t="shared" si="31"/>
        <v>2026-07</v>
      </c>
      <c r="N705">
        <f t="shared" si="32"/>
        <v>0.43333333333333335</v>
      </c>
    </row>
    <row r="706" spans="1:14">
      <c r="A706" t="s">
        <v>835</v>
      </c>
      <c r="B706" t="s">
        <v>205</v>
      </c>
      <c r="C706" t="s">
        <v>52</v>
      </c>
      <c r="D706" t="s">
        <v>44</v>
      </c>
      <c r="E706" s="1">
        <v>46271</v>
      </c>
      <c r="F706">
        <v>280</v>
      </c>
      <c r="G706" t="s">
        <v>41</v>
      </c>
      <c r="H706">
        <v>250</v>
      </c>
      <c r="I706">
        <v>70</v>
      </c>
      <c r="J706">
        <v>293133.64</v>
      </c>
      <c r="K706">
        <v>318190.75</v>
      </c>
      <c r="L706">
        <f t="shared" si="30"/>
        <v>-25057.109999999986</v>
      </c>
      <c r="M706" t="str">
        <f t="shared" si="31"/>
        <v>2026-09</v>
      </c>
      <c r="N706">
        <f t="shared" si="32"/>
        <v>0.28000000000000003</v>
      </c>
    </row>
    <row r="707" spans="1:14">
      <c r="A707" t="s">
        <v>836</v>
      </c>
      <c r="B707" t="s">
        <v>407</v>
      </c>
      <c r="C707" t="s">
        <v>49</v>
      </c>
      <c r="D707" t="s">
        <v>29</v>
      </c>
      <c r="E707" s="1">
        <v>46055</v>
      </c>
      <c r="F707">
        <v>121</v>
      </c>
      <c r="G707" t="s">
        <v>41</v>
      </c>
      <c r="H707">
        <v>250</v>
      </c>
      <c r="I707">
        <v>144</v>
      </c>
      <c r="J707">
        <v>485870.24</v>
      </c>
      <c r="K707">
        <v>259205.66</v>
      </c>
      <c r="L707">
        <f t="shared" ref="L707:L770" si="33">J707-K707</f>
        <v>226664.58</v>
      </c>
      <c r="M707" t="str">
        <f t="shared" ref="M707:M770" si="34">TEXT(E707,"YYYY-MM")</f>
        <v>2026-02</v>
      </c>
      <c r="N707">
        <f t="shared" ref="N707:N770" si="35">I707/H707</f>
        <v>0.57599999999999996</v>
      </c>
    </row>
    <row r="708" spans="1:14">
      <c r="A708" t="s">
        <v>837</v>
      </c>
      <c r="B708" t="s">
        <v>75</v>
      </c>
      <c r="C708" t="s">
        <v>55</v>
      </c>
      <c r="D708" t="s">
        <v>30</v>
      </c>
      <c r="E708" s="1">
        <v>46023</v>
      </c>
      <c r="F708">
        <v>494</v>
      </c>
      <c r="G708" t="s">
        <v>46</v>
      </c>
      <c r="H708">
        <v>300</v>
      </c>
      <c r="I708">
        <v>245</v>
      </c>
      <c r="J708">
        <v>2624754.5699999998</v>
      </c>
      <c r="K708">
        <v>510343.28</v>
      </c>
      <c r="L708">
        <f t="shared" si="33"/>
        <v>2114411.29</v>
      </c>
      <c r="M708" t="str">
        <f t="shared" si="34"/>
        <v>2026-01</v>
      </c>
      <c r="N708">
        <f t="shared" si="35"/>
        <v>0.81666666666666665</v>
      </c>
    </row>
    <row r="709" spans="1:14">
      <c r="A709" t="s">
        <v>838</v>
      </c>
      <c r="B709" t="s">
        <v>75</v>
      </c>
      <c r="C709" t="s">
        <v>55</v>
      </c>
      <c r="D709" t="s">
        <v>30</v>
      </c>
      <c r="E709" s="1">
        <v>46127</v>
      </c>
      <c r="F709">
        <v>502</v>
      </c>
      <c r="G709" t="s">
        <v>31</v>
      </c>
      <c r="H709">
        <v>150</v>
      </c>
      <c r="I709">
        <v>65</v>
      </c>
      <c r="J709">
        <v>545316.26</v>
      </c>
      <c r="K709">
        <v>526531.53</v>
      </c>
      <c r="L709">
        <f t="shared" si="33"/>
        <v>18784.729999999981</v>
      </c>
      <c r="M709" t="str">
        <f t="shared" si="34"/>
        <v>2026-04</v>
      </c>
      <c r="N709">
        <f t="shared" si="35"/>
        <v>0.43333333333333335</v>
      </c>
    </row>
    <row r="710" spans="1:14">
      <c r="A710" t="s">
        <v>839</v>
      </c>
      <c r="B710" t="s">
        <v>62</v>
      </c>
      <c r="C710" t="s">
        <v>52</v>
      </c>
      <c r="D710" t="s">
        <v>40</v>
      </c>
      <c r="E710" s="1">
        <v>46208</v>
      </c>
      <c r="F710">
        <v>101</v>
      </c>
      <c r="G710" t="s">
        <v>41</v>
      </c>
      <c r="H710">
        <v>150</v>
      </c>
      <c r="I710">
        <v>136</v>
      </c>
      <c r="J710">
        <v>997911.42</v>
      </c>
      <c r="K710">
        <v>180482</v>
      </c>
      <c r="L710">
        <f t="shared" si="33"/>
        <v>817429.42</v>
      </c>
      <c r="M710" t="str">
        <f t="shared" si="34"/>
        <v>2026-07</v>
      </c>
      <c r="N710">
        <f t="shared" si="35"/>
        <v>0.90666666666666662</v>
      </c>
    </row>
    <row r="711" spans="1:14">
      <c r="A711" t="s">
        <v>840</v>
      </c>
      <c r="B711" t="s">
        <v>210</v>
      </c>
      <c r="C711" t="s">
        <v>55</v>
      </c>
      <c r="D711" t="s">
        <v>69</v>
      </c>
      <c r="E711" s="1">
        <v>46096</v>
      </c>
      <c r="F711">
        <v>395</v>
      </c>
      <c r="G711" t="s">
        <v>35</v>
      </c>
      <c r="H711">
        <v>180</v>
      </c>
      <c r="I711">
        <v>126</v>
      </c>
      <c r="J711">
        <v>1048300.33</v>
      </c>
      <c r="K711">
        <v>449491.13</v>
      </c>
      <c r="L711">
        <f t="shared" si="33"/>
        <v>598809.19999999995</v>
      </c>
      <c r="M711" t="str">
        <f t="shared" si="34"/>
        <v>2026-03</v>
      </c>
      <c r="N711">
        <f t="shared" si="35"/>
        <v>0.7</v>
      </c>
    </row>
    <row r="712" spans="1:14">
      <c r="A712" t="s">
        <v>841</v>
      </c>
      <c r="B712" t="s">
        <v>277</v>
      </c>
      <c r="C712" t="s">
        <v>45</v>
      </c>
      <c r="D712" t="s">
        <v>69</v>
      </c>
      <c r="E712" s="1">
        <v>46257</v>
      </c>
      <c r="F712">
        <v>391</v>
      </c>
      <c r="G712" t="s">
        <v>46</v>
      </c>
      <c r="H712">
        <v>150</v>
      </c>
      <c r="I712">
        <v>121</v>
      </c>
      <c r="J712">
        <v>1748784.3</v>
      </c>
      <c r="K712">
        <v>519742.99</v>
      </c>
      <c r="L712">
        <f t="shared" si="33"/>
        <v>1229041.31</v>
      </c>
      <c r="M712" t="str">
        <f t="shared" si="34"/>
        <v>2026-08</v>
      </c>
      <c r="N712">
        <f t="shared" si="35"/>
        <v>0.80666666666666664</v>
      </c>
    </row>
    <row r="713" spans="1:14">
      <c r="A713" t="s">
        <v>842</v>
      </c>
      <c r="B713" t="s">
        <v>73</v>
      </c>
      <c r="C713" t="s">
        <v>29</v>
      </c>
      <c r="D713" t="s">
        <v>52</v>
      </c>
      <c r="E713" s="1">
        <v>46036</v>
      </c>
      <c r="F713">
        <v>587</v>
      </c>
      <c r="G713" t="s">
        <v>46</v>
      </c>
      <c r="H713">
        <v>250</v>
      </c>
      <c r="I713">
        <v>91</v>
      </c>
      <c r="J713">
        <v>997391.97</v>
      </c>
      <c r="K713">
        <v>586244.80000000005</v>
      </c>
      <c r="L713">
        <f t="shared" si="33"/>
        <v>411147.16999999993</v>
      </c>
      <c r="M713" t="str">
        <f t="shared" si="34"/>
        <v>2026-01</v>
      </c>
      <c r="N713">
        <f t="shared" si="35"/>
        <v>0.36399999999999999</v>
      </c>
    </row>
    <row r="714" spans="1:14">
      <c r="A714" t="s">
        <v>843</v>
      </c>
      <c r="B714" t="s">
        <v>240</v>
      </c>
      <c r="C714" t="s">
        <v>55</v>
      </c>
      <c r="D714" t="s">
        <v>40</v>
      </c>
      <c r="E714" s="1">
        <v>46134</v>
      </c>
      <c r="F714">
        <v>333</v>
      </c>
      <c r="G714" t="s">
        <v>31</v>
      </c>
      <c r="H714">
        <v>150</v>
      </c>
      <c r="I714">
        <v>134</v>
      </c>
      <c r="J714">
        <v>591645.39</v>
      </c>
      <c r="K714">
        <v>394166.77</v>
      </c>
      <c r="L714">
        <f t="shared" si="33"/>
        <v>197478.62</v>
      </c>
      <c r="M714" t="str">
        <f t="shared" si="34"/>
        <v>2026-04</v>
      </c>
      <c r="N714">
        <f t="shared" si="35"/>
        <v>0.89333333333333331</v>
      </c>
    </row>
    <row r="715" spans="1:14">
      <c r="A715" t="s">
        <v>844</v>
      </c>
      <c r="B715" t="s">
        <v>157</v>
      </c>
      <c r="C715" t="s">
        <v>45</v>
      </c>
      <c r="D715" t="s">
        <v>52</v>
      </c>
      <c r="E715" s="1">
        <v>46027</v>
      </c>
      <c r="F715">
        <v>505</v>
      </c>
      <c r="G715" t="s">
        <v>41</v>
      </c>
      <c r="H715">
        <v>300</v>
      </c>
      <c r="I715">
        <v>135</v>
      </c>
      <c r="J715">
        <v>507927.87</v>
      </c>
      <c r="K715">
        <v>542573.43999999994</v>
      </c>
      <c r="L715">
        <f t="shared" si="33"/>
        <v>-34645.569999999949</v>
      </c>
      <c r="M715" t="str">
        <f t="shared" si="34"/>
        <v>2026-01</v>
      </c>
      <c r="N715">
        <f t="shared" si="35"/>
        <v>0.45</v>
      </c>
    </row>
    <row r="716" spans="1:14">
      <c r="A716" t="s">
        <v>845</v>
      </c>
      <c r="B716" t="s">
        <v>48</v>
      </c>
      <c r="C716" t="s">
        <v>49</v>
      </c>
      <c r="D716" t="s">
        <v>40</v>
      </c>
      <c r="E716" s="1">
        <v>46288</v>
      </c>
      <c r="F716">
        <v>377</v>
      </c>
      <c r="G716" t="s">
        <v>41</v>
      </c>
      <c r="H716">
        <v>150</v>
      </c>
      <c r="I716">
        <v>119</v>
      </c>
      <c r="J716">
        <v>790717.66</v>
      </c>
      <c r="K716">
        <v>506570.23999999999</v>
      </c>
      <c r="L716">
        <f t="shared" si="33"/>
        <v>284147.42000000004</v>
      </c>
      <c r="M716" t="str">
        <f t="shared" si="34"/>
        <v>2026-09</v>
      </c>
      <c r="N716">
        <f t="shared" si="35"/>
        <v>0.79333333333333333</v>
      </c>
    </row>
    <row r="717" spans="1:14">
      <c r="A717" t="s">
        <v>846</v>
      </c>
      <c r="B717" t="s">
        <v>71</v>
      </c>
      <c r="C717" t="s">
        <v>44</v>
      </c>
      <c r="D717" t="s">
        <v>40</v>
      </c>
      <c r="E717" s="1">
        <v>46121</v>
      </c>
      <c r="F717">
        <v>93</v>
      </c>
      <c r="G717" t="s">
        <v>35</v>
      </c>
      <c r="H717">
        <v>180</v>
      </c>
      <c r="I717">
        <v>159</v>
      </c>
      <c r="J717">
        <v>1971517.5</v>
      </c>
      <c r="K717">
        <v>199177.29</v>
      </c>
      <c r="L717">
        <f t="shared" si="33"/>
        <v>1772340.21</v>
      </c>
      <c r="M717" t="str">
        <f t="shared" si="34"/>
        <v>2026-04</v>
      </c>
      <c r="N717">
        <f t="shared" si="35"/>
        <v>0.8833333333333333</v>
      </c>
    </row>
    <row r="718" spans="1:14">
      <c r="A718" t="s">
        <v>847</v>
      </c>
      <c r="B718" t="s">
        <v>144</v>
      </c>
      <c r="C718" t="s">
        <v>49</v>
      </c>
      <c r="D718" t="s">
        <v>55</v>
      </c>
      <c r="E718" s="1">
        <v>46076</v>
      </c>
      <c r="F718">
        <v>462</v>
      </c>
      <c r="G718" t="s">
        <v>46</v>
      </c>
      <c r="H718">
        <v>250</v>
      </c>
      <c r="I718">
        <v>142</v>
      </c>
      <c r="J718">
        <v>757928.64</v>
      </c>
      <c r="K718">
        <v>619905.23</v>
      </c>
      <c r="L718">
        <f t="shared" si="33"/>
        <v>138023.41000000003</v>
      </c>
      <c r="M718" t="str">
        <f t="shared" si="34"/>
        <v>2026-02</v>
      </c>
      <c r="N718">
        <f t="shared" si="35"/>
        <v>0.56799999999999995</v>
      </c>
    </row>
    <row r="719" spans="1:14">
      <c r="A719" t="s">
        <v>848</v>
      </c>
      <c r="B719" t="s">
        <v>73</v>
      </c>
      <c r="C719" t="s">
        <v>29</v>
      </c>
      <c r="D719" t="s">
        <v>52</v>
      </c>
      <c r="E719" s="1">
        <v>46073</v>
      </c>
      <c r="F719">
        <v>550</v>
      </c>
      <c r="G719" t="s">
        <v>41</v>
      </c>
      <c r="H719">
        <v>300</v>
      </c>
      <c r="I719">
        <v>74</v>
      </c>
      <c r="J719">
        <v>993047.75</v>
      </c>
      <c r="K719">
        <v>538465.22</v>
      </c>
      <c r="L719">
        <f t="shared" si="33"/>
        <v>454582.53</v>
      </c>
      <c r="M719" t="str">
        <f t="shared" si="34"/>
        <v>2026-02</v>
      </c>
      <c r="N719">
        <f t="shared" si="35"/>
        <v>0.24666666666666667</v>
      </c>
    </row>
    <row r="720" spans="1:14">
      <c r="A720" t="s">
        <v>849</v>
      </c>
      <c r="B720" t="s">
        <v>153</v>
      </c>
      <c r="C720" t="s">
        <v>69</v>
      </c>
      <c r="D720" t="s">
        <v>40</v>
      </c>
      <c r="E720" s="1">
        <v>46032</v>
      </c>
      <c r="F720">
        <v>375</v>
      </c>
      <c r="G720" t="s">
        <v>46</v>
      </c>
      <c r="H720">
        <v>150</v>
      </c>
      <c r="I720">
        <v>99</v>
      </c>
      <c r="J720">
        <v>694990.18</v>
      </c>
      <c r="K720">
        <v>316911.65999999997</v>
      </c>
      <c r="L720">
        <f t="shared" si="33"/>
        <v>378078.52000000008</v>
      </c>
      <c r="M720" t="str">
        <f t="shared" si="34"/>
        <v>2026-01</v>
      </c>
      <c r="N720">
        <f t="shared" si="35"/>
        <v>0.66</v>
      </c>
    </row>
    <row r="721" spans="1:14">
      <c r="A721" t="s">
        <v>850</v>
      </c>
      <c r="B721" t="s">
        <v>163</v>
      </c>
      <c r="C721" t="s">
        <v>29</v>
      </c>
      <c r="D721" t="s">
        <v>69</v>
      </c>
      <c r="E721" s="1">
        <v>46057</v>
      </c>
      <c r="F721">
        <v>77</v>
      </c>
      <c r="G721" t="s">
        <v>41</v>
      </c>
      <c r="H721">
        <v>150</v>
      </c>
      <c r="I721">
        <v>123</v>
      </c>
      <c r="J721">
        <v>1349173.4</v>
      </c>
      <c r="K721">
        <v>127249.2</v>
      </c>
      <c r="L721">
        <f t="shared" si="33"/>
        <v>1221924.2</v>
      </c>
      <c r="M721" t="str">
        <f t="shared" si="34"/>
        <v>2026-02</v>
      </c>
      <c r="N721">
        <f t="shared" si="35"/>
        <v>0.82</v>
      </c>
    </row>
    <row r="722" spans="1:14">
      <c r="A722" t="s">
        <v>851</v>
      </c>
      <c r="B722" t="s">
        <v>54</v>
      </c>
      <c r="C722" t="s">
        <v>52</v>
      </c>
      <c r="D722" t="s">
        <v>55</v>
      </c>
      <c r="E722" s="1">
        <v>46274</v>
      </c>
      <c r="F722">
        <v>71</v>
      </c>
      <c r="G722" t="s">
        <v>41</v>
      </c>
      <c r="H722">
        <v>300</v>
      </c>
      <c r="I722">
        <v>261</v>
      </c>
      <c r="J722">
        <v>1115384.81</v>
      </c>
      <c r="K722">
        <v>219725.66</v>
      </c>
      <c r="L722">
        <f t="shared" si="33"/>
        <v>895659.15</v>
      </c>
      <c r="M722" t="str">
        <f t="shared" si="34"/>
        <v>2026-09</v>
      </c>
      <c r="N722">
        <f t="shared" si="35"/>
        <v>0.87</v>
      </c>
    </row>
    <row r="723" spans="1:14">
      <c r="A723" t="s">
        <v>852</v>
      </c>
      <c r="B723" t="s">
        <v>48</v>
      </c>
      <c r="C723" t="s">
        <v>49</v>
      </c>
      <c r="D723" t="s">
        <v>40</v>
      </c>
      <c r="E723" s="1">
        <v>46249</v>
      </c>
      <c r="F723">
        <v>596</v>
      </c>
      <c r="G723" t="s">
        <v>46</v>
      </c>
      <c r="H723">
        <v>250</v>
      </c>
      <c r="I723">
        <v>128</v>
      </c>
      <c r="J723">
        <v>1289213.4099999999</v>
      </c>
      <c r="K723">
        <v>642088.76</v>
      </c>
      <c r="L723">
        <f t="shared" si="33"/>
        <v>647124.64999999991</v>
      </c>
      <c r="M723" t="str">
        <f t="shared" si="34"/>
        <v>2026-08</v>
      </c>
      <c r="N723">
        <f t="shared" si="35"/>
        <v>0.51200000000000001</v>
      </c>
    </row>
    <row r="724" spans="1:14">
      <c r="A724" t="s">
        <v>853</v>
      </c>
      <c r="B724" t="s">
        <v>137</v>
      </c>
      <c r="C724" t="s">
        <v>69</v>
      </c>
      <c r="D724" t="s">
        <v>34</v>
      </c>
      <c r="E724" s="1">
        <v>46310</v>
      </c>
      <c r="F724">
        <v>368</v>
      </c>
      <c r="G724" t="s">
        <v>31</v>
      </c>
      <c r="H724">
        <v>180</v>
      </c>
      <c r="I724">
        <v>118</v>
      </c>
      <c r="J724">
        <v>498084.41</v>
      </c>
      <c r="K724">
        <v>286661.71999999997</v>
      </c>
      <c r="L724">
        <f t="shared" si="33"/>
        <v>211422.69</v>
      </c>
      <c r="M724" t="str">
        <f t="shared" si="34"/>
        <v>2026-10</v>
      </c>
      <c r="N724">
        <f t="shared" si="35"/>
        <v>0.65555555555555556</v>
      </c>
    </row>
    <row r="725" spans="1:14">
      <c r="A725" t="s">
        <v>854</v>
      </c>
      <c r="B725" t="s">
        <v>260</v>
      </c>
      <c r="C725" t="s">
        <v>69</v>
      </c>
      <c r="D725" t="s">
        <v>29</v>
      </c>
      <c r="E725" s="1">
        <v>46219</v>
      </c>
      <c r="F725">
        <v>352</v>
      </c>
      <c r="G725" t="s">
        <v>41</v>
      </c>
      <c r="H725">
        <v>150</v>
      </c>
      <c r="I725">
        <v>52</v>
      </c>
      <c r="J725">
        <v>725840.52</v>
      </c>
      <c r="K725">
        <v>447578.5</v>
      </c>
      <c r="L725">
        <f t="shared" si="33"/>
        <v>278262.02</v>
      </c>
      <c r="M725" t="str">
        <f t="shared" si="34"/>
        <v>2026-07</v>
      </c>
      <c r="N725">
        <f t="shared" si="35"/>
        <v>0.34666666666666668</v>
      </c>
    </row>
    <row r="726" spans="1:14">
      <c r="A726" t="s">
        <v>855</v>
      </c>
      <c r="B726" t="s">
        <v>54</v>
      </c>
      <c r="C726" t="s">
        <v>52</v>
      </c>
      <c r="D726" t="s">
        <v>55</v>
      </c>
      <c r="E726" s="1">
        <v>46030</v>
      </c>
      <c r="F726">
        <v>187</v>
      </c>
      <c r="G726" t="s">
        <v>41</v>
      </c>
      <c r="H726">
        <v>300</v>
      </c>
      <c r="I726">
        <v>175</v>
      </c>
      <c r="J726">
        <v>910261.56</v>
      </c>
      <c r="K726">
        <v>342775.03999999998</v>
      </c>
      <c r="L726">
        <f t="shared" si="33"/>
        <v>567486.52</v>
      </c>
      <c r="M726" t="str">
        <f t="shared" si="34"/>
        <v>2026-01</v>
      </c>
      <c r="N726">
        <f t="shared" si="35"/>
        <v>0.58333333333333337</v>
      </c>
    </row>
    <row r="727" spans="1:14">
      <c r="A727" t="s">
        <v>856</v>
      </c>
      <c r="B727" t="s">
        <v>282</v>
      </c>
      <c r="C727" t="s">
        <v>52</v>
      </c>
      <c r="D727" t="s">
        <v>29</v>
      </c>
      <c r="E727" s="1">
        <v>46225</v>
      </c>
      <c r="F727">
        <v>88</v>
      </c>
      <c r="G727" t="s">
        <v>46</v>
      </c>
      <c r="H727">
        <v>150</v>
      </c>
      <c r="I727">
        <v>122</v>
      </c>
      <c r="J727">
        <v>1316470.93</v>
      </c>
      <c r="K727">
        <v>129074.41</v>
      </c>
      <c r="L727">
        <f t="shared" si="33"/>
        <v>1187396.52</v>
      </c>
      <c r="M727" t="str">
        <f t="shared" si="34"/>
        <v>2026-07</v>
      </c>
      <c r="N727">
        <f t="shared" si="35"/>
        <v>0.81333333333333335</v>
      </c>
    </row>
    <row r="728" spans="1:14">
      <c r="A728" t="s">
        <v>857</v>
      </c>
      <c r="B728" t="s">
        <v>182</v>
      </c>
      <c r="C728" t="s">
        <v>45</v>
      </c>
      <c r="D728" t="s">
        <v>34</v>
      </c>
      <c r="E728" s="1">
        <v>46166</v>
      </c>
      <c r="F728">
        <v>78</v>
      </c>
      <c r="G728" t="s">
        <v>31</v>
      </c>
      <c r="H728">
        <v>180</v>
      </c>
      <c r="I728">
        <v>163</v>
      </c>
      <c r="J728">
        <v>2047635.03</v>
      </c>
      <c r="K728">
        <v>135965.22</v>
      </c>
      <c r="L728">
        <f t="shared" si="33"/>
        <v>1911669.81</v>
      </c>
      <c r="M728" t="str">
        <f t="shared" si="34"/>
        <v>2026-05</v>
      </c>
      <c r="N728">
        <f t="shared" si="35"/>
        <v>0.90555555555555556</v>
      </c>
    </row>
    <row r="729" spans="1:14">
      <c r="A729" t="s">
        <v>858</v>
      </c>
      <c r="B729" t="s">
        <v>120</v>
      </c>
      <c r="C729" t="s">
        <v>52</v>
      </c>
      <c r="D729" t="s">
        <v>34</v>
      </c>
      <c r="E729" s="1">
        <v>46275</v>
      </c>
      <c r="F729">
        <v>199</v>
      </c>
      <c r="G729" t="s">
        <v>46</v>
      </c>
      <c r="H729">
        <v>250</v>
      </c>
      <c r="I729">
        <v>174</v>
      </c>
      <c r="J729">
        <v>1867555.58</v>
      </c>
      <c r="K729">
        <v>228447.41</v>
      </c>
      <c r="L729">
        <f t="shared" si="33"/>
        <v>1639108.1700000002</v>
      </c>
      <c r="M729" t="str">
        <f t="shared" si="34"/>
        <v>2026-09</v>
      </c>
      <c r="N729">
        <f t="shared" si="35"/>
        <v>0.69599999999999995</v>
      </c>
    </row>
    <row r="730" spans="1:14">
      <c r="A730" t="s">
        <v>859</v>
      </c>
      <c r="B730" t="s">
        <v>169</v>
      </c>
      <c r="C730" t="s">
        <v>34</v>
      </c>
      <c r="D730" t="s">
        <v>40</v>
      </c>
      <c r="E730" s="1">
        <v>46172</v>
      </c>
      <c r="F730">
        <v>302</v>
      </c>
      <c r="G730" t="s">
        <v>31</v>
      </c>
      <c r="H730">
        <v>300</v>
      </c>
      <c r="I730">
        <v>208</v>
      </c>
      <c r="J730">
        <v>2604906.5099999998</v>
      </c>
      <c r="K730">
        <v>431319.83</v>
      </c>
      <c r="L730">
        <f t="shared" si="33"/>
        <v>2173586.6799999997</v>
      </c>
      <c r="M730" t="str">
        <f t="shared" si="34"/>
        <v>2026-05</v>
      </c>
      <c r="N730">
        <f t="shared" si="35"/>
        <v>0.69333333333333336</v>
      </c>
    </row>
    <row r="731" spans="1:14">
      <c r="A731" t="s">
        <v>860</v>
      </c>
      <c r="B731" t="s">
        <v>157</v>
      </c>
      <c r="C731" t="s">
        <v>45</v>
      </c>
      <c r="D731" t="s">
        <v>52</v>
      </c>
      <c r="E731" s="1">
        <v>46080</v>
      </c>
      <c r="F731">
        <v>551</v>
      </c>
      <c r="G731" t="s">
        <v>31</v>
      </c>
      <c r="H731">
        <v>250</v>
      </c>
      <c r="I731">
        <v>101</v>
      </c>
      <c r="J731">
        <v>461688.68</v>
      </c>
      <c r="K731">
        <v>669032.61</v>
      </c>
      <c r="L731">
        <f t="shared" si="33"/>
        <v>-207343.93</v>
      </c>
      <c r="M731" t="str">
        <f t="shared" si="34"/>
        <v>2026-02</v>
      </c>
      <c r="N731">
        <f t="shared" si="35"/>
        <v>0.40400000000000003</v>
      </c>
    </row>
    <row r="732" spans="1:14">
      <c r="A732" t="s">
        <v>861</v>
      </c>
      <c r="B732" t="s">
        <v>186</v>
      </c>
      <c r="C732" t="s">
        <v>49</v>
      </c>
      <c r="D732" t="s">
        <v>30</v>
      </c>
      <c r="E732" s="1">
        <v>46174</v>
      </c>
      <c r="F732">
        <v>551</v>
      </c>
      <c r="G732" t="s">
        <v>41</v>
      </c>
      <c r="H732">
        <v>300</v>
      </c>
      <c r="I732">
        <v>89</v>
      </c>
      <c r="J732">
        <v>763174.39</v>
      </c>
      <c r="K732">
        <v>712602.82</v>
      </c>
      <c r="L732">
        <f t="shared" si="33"/>
        <v>50571.570000000065</v>
      </c>
      <c r="M732" t="str">
        <f t="shared" si="34"/>
        <v>2026-06</v>
      </c>
      <c r="N732">
        <f t="shared" si="35"/>
        <v>0.29666666666666669</v>
      </c>
    </row>
    <row r="733" spans="1:14">
      <c r="A733" t="s">
        <v>862</v>
      </c>
      <c r="B733" t="s">
        <v>230</v>
      </c>
      <c r="C733" t="s">
        <v>49</v>
      </c>
      <c r="D733" t="s">
        <v>34</v>
      </c>
      <c r="E733" s="1">
        <v>46282</v>
      </c>
      <c r="F733">
        <v>518</v>
      </c>
      <c r="G733" t="s">
        <v>41</v>
      </c>
      <c r="H733">
        <v>180</v>
      </c>
      <c r="I733">
        <v>134</v>
      </c>
      <c r="J733">
        <v>1664395.55</v>
      </c>
      <c r="K733">
        <v>646904.06999999995</v>
      </c>
      <c r="L733">
        <f t="shared" si="33"/>
        <v>1017491.4800000001</v>
      </c>
      <c r="M733" t="str">
        <f t="shared" si="34"/>
        <v>2026-09</v>
      </c>
      <c r="N733">
        <f t="shared" si="35"/>
        <v>0.74444444444444446</v>
      </c>
    </row>
    <row r="734" spans="1:14">
      <c r="A734" t="s">
        <v>863</v>
      </c>
      <c r="B734" t="s">
        <v>90</v>
      </c>
      <c r="C734" t="s">
        <v>40</v>
      </c>
      <c r="D734" t="s">
        <v>30</v>
      </c>
      <c r="E734" s="1">
        <v>46130</v>
      </c>
      <c r="F734">
        <v>457</v>
      </c>
      <c r="G734" t="s">
        <v>35</v>
      </c>
      <c r="H734">
        <v>250</v>
      </c>
      <c r="I734">
        <v>165</v>
      </c>
      <c r="J734">
        <v>2182828.9900000002</v>
      </c>
      <c r="K734">
        <v>528933.46</v>
      </c>
      <c r="L734">
        <f t="shared" si="33"/>
        <v>1653895.5300000003</v>
      </c>
      <c r="M734" t="str">
        <f t="shared" si="34"/>
        <v>2026-04</v>
      </c>
      <c r="N734">
        <f t="shared" si="35"/>
        <v>0.66</v>
      </c>
    </row>
    <row r="735" spans="1:14">
      <c r="A735" t="s">
        <v>864</v>
      </c>
      <c r="B735" t="s">
        <v>66</v>
      </c>
      <c r="C735" t="s">
        <v>49</v>
      </c>
      <c r="D735" t="s">
        <v>45</v>
      </c>
      <c r="E735" s="1">
        <v>46271</v>
      </c>
      <c r="F735">
        <v>83</v>
      </c>
      <c r="G735" t="s">
        <v>41</v>
      </c>
      <c r="H735">
        <v>300</v>
      </c>
      <c r="I735">
        <v>229</v>
      </c>
      <c r="J735">
        <v>715429.7</v>
      </c>
      <c r="K735">
        <v>227880.71</v>
      </c>
      <c r="L735">
        <f t="shared" si="33"/>
        <v>487548.99</v>
      </c>
      <c r="M735" t="str">
        <f t="shared" si="34"/>
        <v>2026-09</v>
      </c>
      <c r="N735">
        <f t="shared" si="35"/>
        <v>0.76333333333333331</v>
      </c>
    </row>
    <row r="736" spans="1:14">
      <c r="A736" t="s">
        <v>865</v>
      </c>
      <c r="B736" t="s">
        <v>64</v>
      </c>
      <c r="C736" t="s">
        <v>34</v>
      </c>
      <c r="D736" t="s">
        <v>55</v>
      </c>
      <c r="E736" s="1">
        <v>46236</v>
      </c>
      <c r="F736">
        <v>494</v>
      </c>
      <c r="G736" t="s">
        <v>41</v>
      </c>
      <c r="H736">
        <v>150</v>
      </c>
      <c r="I736">
        <v>101</v>
      </c>
      <c r="J736">
        <v>1138363.75</v>
      </c>
      <c r="K736">
        <v>532146.05000000005</v>
      </c>
      <c r="L736">
        <f t="shared" si="33"/>
        <v>606217.69999999995</v>
      </c>
      <c r="M736" t="str">
        <f t="shared" si="34"/>
        <v>2026-08</v>
      </c>
      <c r="N736">
        <f t="shared" si="35"/>
        <v>0.67333333333333334</v>
      </c>
    </row>
    <row r="737" spans="1:14">
      <c r="A737" t="s">
        <v>866</v>
      </c>
      <c r="B737" t="s">
        <v>113</v>
      </c>
      <c r="C737" t="s">
        <v>44</v>
      </c>
      <c r="D737" t="s">
        <v>55</v>
      </c>
      <c r="E737" s="1">
        <v>46249</v>
      </c>
      <c r="F737">
        <v>482</v>
      </c>
      <c r="G737" t="s">
        <v>35</v>
      </c>
      <c r="H737">
        <v>250</v>
      </c>
      <c r="I737">
        <v>67</v>
      </c>
      <c r="J737">
        <v>461479.34</v>
      </c>
      <c r="K737">
        <v>564098.61</v>
      </c>
      <c r="L737">
        <f t="shared" si="33"/>
        <v>-102619.26999999996</v>
      </c>
      <c r="M737" t="str">
        <f t="shared" si="34"/>
        <v>2026-08</v>
      </c>
      <c r="N737">
        <f t="shared" si="35"/>
        <v>0.26800000000000002</v>
      </c>
    </row>
    <row r="738" spans="1:14">
      <c r="A738" t="s">
        <v>867</v>
      </c>
      <c r="B738" t="s">
        <v>302</v>
      </c>
      <c r="C738" t="s">
        <v>30</v>
      </c>
      <c r="D738" t="s">
        <v>34</v>
      </c>
      <c r="E738" s="1">
        <v>46201</v>
      </c>
      <c r="F738">
        <v>297</v>
      </c>
      <c r="G738" t="s">
        <v>31</v>
      </c>
      <c r="H738">
        <v>150</v>
      </c>
      <c r="I738">
        <v>55</v>
      </c>
      <c r="J738">
        <v>804907.54</v>
      </c>
      <c r="K738">
        <v>378646.28</v>
      </c>
      <c r="L738">
        <f t="shared" si="33"/>
        <v>426261.26</v>
      </c>
      <c r="M738" t="str">
        <f t="shared" si="34"/>
        <v>2026-06</v>
      </c>
      <c r="N738">
        <f t="shared" si="35"/>
        <v>0.36666666666666664</v>
      </c>
    </row>
    <row r="739" spans="1:14">
      <c r="A739" t="s">
        <v>868</v>
      </c>
      <c r="B739" t="s">
        <v>109</v>
      </c>
      <c r="C739" t="s">
        <v>30</v>
      </c>
      <c r="D739" t="s">
        <v>52</v>
      </c>
      <c r="E739" s="1">
        <v>46192</v>
      </c>
      <c r="F739">
        <v>434</v>
      </c>
      <c r="G739" t="s">
        <v>41</v>
      </c>
      <c r="H739">
        <v>150</v>
      </c>
      <c r="I739">
        <v>139</v>
      </c>
      <c r="J739">
        <v>1011419.55</v>
      </c>
      <c r="K739">
        <v>544913.11</v>
      </c>
      <c r="L739">
        <f t="shared" si="33"/>
        <v>466506.44000000006</v>
      </c>
      <c r="M739" t="str">
        <f t="shared" si="34"/>
        <v>2026-06</v>
      </c>
      <c r="N739">
        <f t="shared" si="35"/>
        <v>0.92666666666666664</v>
      </c>
    </row>
    <row r="740" spans="1:14">
      <c r="A740" t="s">
        <v>869</v>
      </c>
      <c r="B740" t="s">
        <v>184</v>
      </c>
      <c r="C740" t="s">
        <v>29</v>
      </c>
      <c r="D740" t="s">
        <v>44</v>
      </c>
      <c r="E740" s="1">
        <v>46218</v>
      </c>
      <c r="F740">
        <v>359</v>
      </c>
      <c r="G740" t="s">
        <v>31</v>
      </c>
      <c r="H740">
        <v>250</v>
      </c>
      <c r="I740">
        <v>109</v>
      </c>
      <c r="J740">
        <v>1576457.54</v>
      </c>
      <c r="K740">
        <v>527585.14</v>
      </c>
      <c r="L740">
        <f t="shared" si="33"/>
        <v>1048872.3999999999</v>
      </c>
      <c r="M740" t="str">
        <f t="shared" si="34"/>
        <v>2026-07</v>
      </c>
      <c r="N740">
        <f t="shared" si="35"/>
        <v>0.436</v>
      </c>
    </row>
    <row r="741" spans="1:14">
      <c r="A741" t="s">
        <v>870</v>
      </c>
      <c r="B741" t="s">
        <v>141</v>
      </c>
      <c r="C741" t="s">
        <v>69</v>
      </c>
      <c r="D741" t="s">
        <v>44</v>
      </c>
      <c r="E741" s="1">
        <v>46145</v>
      </c>
      <c r="F741">
        <v>245</v>
      </c>
      <c r="G741" t="s">
        <v>35</v>
      </c>
      <c r="H741">
        <v>300</v>
      </c>
      <c r="I741">
        <v>100</v>
      </c>
      <c r="J741">
        <v>1137566.1499999999</v>
      </c>
      <c r="K741">
        <v>272770.87</v>
      </c>
      <c r="L741">
        <f t="shared" si="33"/>
        <v>864795.27999999991</v>
      </c>
      <c r="M741" t="str">
        <f t="shared" si="34"/>
        <v>2026-05</v>
      </c>
      <c r="N741">
        <f t="shared" si="35"/>
        <v>0.33333333333333331</v>
      </c>
    </row>
    <row r="742" spans="1:14">
      <c r="A742" t="s">
        <v>871</v>
      </c>
      <c r="B742" t="s">
        <v>198</v>
      </c>
      <c r="C742" t="s">
        <v>45</v>
      </c>
      <c r="D742" t="s">
        <v>40</v>
      </c>
      <c r="E742" s="1">
        <v>46250</v>
      </c>
      <c r="F742">
        <v>534</v>
      </c>
      <c r="G742" t="s">
        <v>35</v>
      </c>
      <c r="H742">
        <v>250</v>
      </c>
      <c r="I742">
        <v>111</v>
      </c>
      <c r="J742">
        <v>1328424.68</v>
      </c>
      <c r="K742">
        <v>411828.55</v>
      </c>
      <c r="L742">
        <f t="shared" si="33"/>
        <v>916596.12999999989</v>
      </c>
      <c r="M742" t="str">
        <f t="shared" si="34"/>
        <v>2026-08</v>
      </c>
      <c r="N742">
        <f t="shared" si="35"/>
        <v>0.44400000000000001</v>
      </c>
    </row>
    <row r="743" spans="1:14">
      <c r="A743" t="s">
        <v>872</v>
      </c>
      <c r="B743" t="s">
        <v>64</v>
      </c>
      <c r="C743" t="s">
        <v>34</v>
      </c>
      <c r="D743" t="s">
        <v>55</v>
      </c>
      <c r="E743" s="1">
        <v>46229</v>
      </c>
      <c r="F743">
        <v>236</v>
      </c>
      <c r="G743" t="s">
        <v>31</v>
      </c>
      <c r="H743">
        <v>250</v>
      </c>
      <c r="I743">
        <v>104</v>
      </c>
      <c r="J743">
        <v>1457677.12</v>
      </c>
      <c r="K743">
        <v>393641.33</v>
      </c>
      <c r="L743">
        <f t="shared" si="33"/>
        <v>1064035.79</v>
      </c>
      <c r="M743" t="str">
        <f t="shared" si="34"/>
        <v>2026-07</v>
      </c>
      <c r="N743">
        <f t="shared" si="35"/>
        <v>0.41599999999999998</v>
      </c>
    </row>
    <row r="744" spans="1:14">
      <c r="A744" t="s">
        <v>873</v>
      </c>
      <c r="B744" t="s">
        <v>186</v>
      </c>
      <c r="C744" t="s">
        <v>49</v>
      </c>
      <c r="D744" t="s">
        <v>30</v>
      </c>
      <c r="E744" s="1">
        <v>46292</v>
      </c>
      <c r="F744">
        <v>304</v>
      </c>
      <c r="G744" t="s">
        <v>46</v>
      </c>
      <c r="H744">
        <v>150</v>
      </c>
      <c r="I744">
        <v>76</v>
      </c>
      <c r="J744">
        <v>785557.6</v>
      </c>
      <c r="K744">
        <v>432150.72</v>
      </c>
      <c r="L744">
        <f t="shared" si="33"/>
        <v>353406.88</v>
      </c>
      <c r="M744" t="str">
        <f t="shared" si="34"/>
        <v>2026-09</v>
      </c>
      <c r="N744">
        <f t="shared" si="35"/>
        <v>0.50666666666666671</v>
      </c>
    </row>
    <row r="745" spans="1:14">
      <c r="A745" t="s">
        <v>874</v>
      </c>
      <c r="B745" t="s">
        <v>226</v>
      </c>
      <c r="C745" t="s">
        <v>69</v>
      </c>
      <c r="D745" t="s">
        <v>55</v>
      </c>
      <c r="E745" s="1">
        <v>46240</v>
      </c>
      <c r="F745">
        <v>337</v>
      </c>
      <c r="G745" t="s">
        <v>41</v>
      </c>
      <c r="H745">
        <v>180</v>
      </c>
      <c r="I745">
        <v>96</v>
      </c>
      <c r="J745">
        <v>739516.25</v>
      </c>
      <c r="K745">
        <v>374092</v>
      </c>
      <c r="L745">
        <f t="shared" si="33"/>
        <v>365424.25</v>
      </c>
      <c r="M745" t="str">
        <f t="shared" si="34"/>
        <v>2026-08</v>
      </c>
      <c r="N745">
        <f t="shared" si="35"/>
        <v>0.53333333333333333</v>
      </c>
    </row>
    <row r="746" spans="1:14">
      <c r="A746" t="s">
        <v>875</v>
      </c>
      <c r="B746" t="s">
        <v>109</v>
      </c>
      <c r="C746" t="s">
        <v>30</v>
      </c>
      <c r="D746" t="s">
        <v>52</v>
      </c>
      <c r="E746" s="1">
        <v>46222</v>
      </c>
      <c r="F746">
        <v>544</v>
      </c>
      <c r="G746" t="s">
        <v>41</v>
      </c>
      <c r="H746">
        <v>180</v>
      </c>
      <c r="I746">
        <v>171</v>
      </c>
      <c r="J746">
        <v>884859.43</v>
      </c>
      <c r="K746">
        <v>670563.5</v>
      </c>
      <c r="L746">
        <f t="shared" si="33"/>
        <v>214295.93000000005</v>
      </c>
      <c r="M746" t="str">
        <f t="shared" si="34"/>
        <v>2026-07</v>
      </c>
      <c r="N746">
        <f t="shared" si="35"/>
        <v>0.95</v>
      </c>
    </row>
    <row r="747" spans="1:14">
      <c r="A747" t="s">
        <v>876</v>
      </c>
      <c r="B747" t="s">
        <v>430</v>
      </c>
      <c r="C747" t="s">
        <v>49</v>
      </c>
      <c r="D747" t="s">
        <v>52</v>
      </c>
      <c r="E747" s="1">
        <v>46299</v>
      </c>
      <c r="F747">
        <v>450</v>
      </c>
      <c r="G747" t="s">
        <v>41</v>
      </c>
      <c r="H747">
        <v>150</v>
      </c>
      <c r="I747">
        <v>52</v>
      </c>
      <c r="J747">
        <v>420883.53</v>
      </c>
      <c r="K747">
        <v>397437.13</v>
      </c>
      <c r="L747">
        <f t="shared" si="33"/>
        <v>23446.400000000023</v>
      </c>
      <c r="M747" t="str">
        <f t="shared" si="34"/>
        <v>2026-10</v>
      </c>
      <c r="N747">
        <f t="shared" si="35"/>
        <v>0.34666666666666668</v>
      </c>
    </row>
    <row r="748" spans="1:14">
      <c r="A748" t="s">
        <v>877</v>
      </c>
      <c r="B748" t="s">
        <v>28</v>
      </c>
      <c r="C748" t="s">
        <v>29</v>
      </c>
      <c r="D748" t="s">
        <v>30</v>
      </c>
      <c r="E748" s="1">
        <v>46147</v>
      </c>
      <c r="F748">
        <v>396</v>
      </c>
      <c r="G748" t="s">
        <v>41</v>
      </c>
      <c r="H748">
        <v>250</v>
      </c>
      <c r="I748">
        <v>227</v>
      </c>
      <c r="J748">
        <v>1912489.1</v>
      </c>
      <c r="K748">
        <v>560613.89</v>
      </c>
      <c r="L748">
        <f t="shared" si="33"/>
        <v>1351875.21</v>
      </c>
      <c r="M748" t="str">
        <f t="shared" si="34"/>
        <v>2026-05</v>
      </c>
      <c r="N748">
        <f t="shared" si="35"/>
        <v>0.90800000000000003</v>
      </c>
    </row>
    <row r="749" spans="1:14">
      <c r="A749" t="s">
        <v>878</v>
      </c>
      <c r="B749" t="s">
        <v>62</v>
      </c>
      <c r="C749" t="s">
        <v>52</v>
      </c>
      <c r="D749" t="s">
        <v>40</v>
      </c>
      <c r="E749" s="1">
        <v>46037</v>
      </c>
      <c r="F749">
        <v>384</v>
      </c>
      <c r="G749" t="s">
        <v>41</v>
      </c>
      <c r="H749">
        <v>250</v>
      </c>
      <c r="I749">
        <v>125</v>
      </c>
      <c r="J749">
        <v>1011583.53</v>
      </c>
      <c r="K749">
        <v>359137.88</v>
      </c>
      <c r="L749">
        <f t="shared" si="33"/>
        <v>652445.65</v>
      </c>
      <c r="M749" t="str">
        <f t="shared" si="34"/>
        <v>2026-01</v>
      </c>
      <c r="N749">
        <f t="shared" si="35"/>
        <v>0.5</v>
      </c>
    </row>
    <row r="750" spans="1:14">
      <c r="A750" t="s">
        <v>879</v>
      </c>
      <c r="B750" t="s">
        <v>202</v>
      </c>
      <c r="C750" t="s">
        <v>29</v>
      </c>
      <c r="D750" t="s">
        <v>55</v>
      </c>
      <c r="E750" s="1">
        <v>46171</v>
      </c>
      <c r="F750">
        <v>547</v>
      </c>
      <c r="G750" t="s">
        <v>41</v>
      </c>
      <c r="H750">
        <v>250</v>
      </c>
      <c r="I750">
        <v>192</v>
      </c>
      <c r="J750">
        <v>617545.75</v>
      </c>
      <c r="K750">
        <v>611793.52</v>
      </c>
      <c r="L750">
        <f t="shared" si="33"/>
        <v>5752.2299999999814</v>
      </c>
      <c r="M750" t="str">
        <f t="shared" si="34"/>
        <v>2026-05</v>
      </c>
      <c r="N750">
        <f t="shared" si="35"/>
        <v>0.76800000000000002</v>
      </c>
    </row>
    <row r="751" spans="1:14">
      <c r="A751" t="s">
        <v>880</v>
      </c>
      <c r="B751" t="s">
        <v>104</v>
      </c>
      <c r="C751" t="s">
        <v>34</v>
      </c>
      <c r="D751" t="s">
        <v>52</v>
      </c>
      <c r="E751" s="1">
        <v>46056</v>
      </c>
      <c r="F751">
        <v>135</v>
      </c>
      <c r="G751" t="s">
        <v>41</v>
      </c>
      <c r="H751">
        <v>300</v>
      </c>
      <c r="I751">
        <v>197</v>
      </c>
      <c r="J751">
        <v>2184790.16</v>
      </c>
      <c r="K751">
        <v>293502.68</v>
      </c>
      <c r="L751">
        <f t="shared" si="33"/>
        <v>1891287.4800000002</v>
      </c>
      <c r="M751" t="str">
        <f t="shared" si="34"/>
        <v>2026-02</v>
      </c>
      <c r="N751">
        <f t="shared" si="35"/>
        <v>0.65666666666666662</v>
      </c>
    </row>
    <row r="752" spans="1:14">
      <c r="A752" t="s">
        <v>881</v>
      </c>
      <c r="B752" t="s">
        <v>342</v>
      </c>
      <c r="C752" t="s">
        <v>30</v>
      </c>
      <c r="D752" t="s">
        <v>55</v>
      </c>
      <c r="E752" s="1">
        <v>46071</v>
      </c>
      <c r="F752">
        <v>336</v>
      </c>
      <c r="G752" t="s">
        <v>31</v>
      </c>
      <c r="H752">
        <v>180</v>
      </c>
      <c r="I752">
        <v>91</v>
      </c>
      <c r="J752">
        <v>1015070.61</v>
      </c>
      <c r="K752">
        <v>273780.45</v>
      </c>
      <c r="L752">
        <f t="shared" si="33"/>
        <v>741290.15999999992</v>
      </c>
      <c r="M752" t="str">
        <f t="shared" si="34"/>
        <v>2026-02</v>
      </c>
      <c r="N752">
        <f t="shared" si="35"/>
        <v>0.50555555555555554</v>
      </c>
    </row>
    <row r="753" spans="1:14">
      <c r="A753" t="s">
        <v>882</v>
      </c>
      <c r="B753" t="s">
        <v>109</v>
      </c>
      <c r="C753" t="s">
        <v>30</v>
      </c>
      <c r="D753" t="s">
        <v>52</v>
      </c>
      <c r="E753" s="1">
        <v>46079</v>
      </c>
      <c r="F753">
        <v>179</v>
      </c>
      <c r="G753" t="s">
        <v>35</v>
      </c>
      <c r="H753">
        <v>250</v>
      </c>
      <c r="I753">
        <v>92</v>
      </c>
      <c r="J753">
        <v>874404.81</v>
      </c>
      <c r="K753">
        <v>329655.5</v>
      </c>
      <c r="L753">
        <f t="shared" si="33"/>
        <v>544749.31000000006</v>
      </c>
      <c r="M753" t="str">
        <f t="shared" si="34"/>
        <v>2026-02</v>
      </c>
      <c r="N753">
        <f t="shared" si="35"/>
        <v>0.36799999999999999</v>
      </c>
    </row>
    <row r="754" spans="1:14">
      <c r="A754" t="s">
        <v>883</v>
      </c>
      <c r="B754" t="s">
        <v>90</v>
      </c>
      <c r="C754" t="s">
        <v>40</v>
      </c>
      <c r="D754" t="s">
        <v>30</v>
      </c>
      <c r="E754" s="1">
        <v>46277</v>
      </c>
      <c r="F754">
        <v>573</v>
      </c>
      <c r="G754" t="s">
        <v>46</v>
      </c>
      <c r="H754">
        <v>250</v>
      </c>
      <c r="I754">
        <v>198</v>
      </c>
      <c r="J754">
        <v>1230795.33</v>
      </c>
      <c r="K754">
        <v>543382.4</v>
      </c>
      <c r="L754">
        <f t="shared" si="33"/>
        <v>687412.93</v>
      </c>
      <c r="M754" t="str">
        <f t="shared" si="34"/>
        <v>2026-09</v>
      </c>
      <c r="N754">
        <f t="shared" si="35"/>
        <v>0.79200000000000004</v>
      </c>
    </row>
    <row r="755" spans="1:14">
      <c r="A755" t="s">
        <v>884</v>
      </c>
      <c r="B755" t="s">
        <v>141</v>
      </c>
      <c r="C755" t="s">
        <v>69</v>
      </c>
      <c r="D755" t="s">
        <v>44</v>
      </c>
      <c r="E755" s="1">
        <v>46122</v>
      </c>
      <c r="F755">
        <v>315</v>
      </c>
      <c r="G755" t="s">
        <v>31</v>
      </c>
      <c r="H755">
        <v>150</v>
      </c>
      <c r="I755">
        <v>66</v>
      </c>
      <c r="J755">
        <v>570496.65</v>
      </c>
      <c r="K755">
        <v>425123.35</v>
      </c>
      <c r="L755">
        <f t="shared" si="33"/>
        <v>145373.30000000005</v>
      </c>
      <c r="M755" t="str">
        <f t="shared" si="34"/>
        <v>2026-04</v>
      </c>
      <c r="N755">
        <f t="shared" si="35"/>
        <v>0.44</v>
      </c>
    </row>
    <row r="756" spans="1:14">
      <c r="A756" t="s">
        <v>885</v>
      </c>
      <c r="B756" t="s">
        <v>379</v>
      </c>
      <c r="C756" t="s">
        <v>44</v>
      </c>
      <c r="D756" t="s">
        <v>30</v>
      </c>
      <c r="E756" s="1">
        <v>46282</v>
      </c>
      <c r="F756">
        <v>104</v>
      </c>
      <c r="G756" t="s">
        <v>31</v>
      </c>
      <c r="H756">
        <v>150</v>
      </c>
      <c r="I756">
        <v>124</v>
      </c>
      <c r="J756">
        <v>1160111.06</v>
      </c>
      <c r="K756">
        <v>152317.66</v>
      </c>
      <c r="L756">
        <f t="shared" si="33"/>
        <v>1007793.4</v>
      </c>
      <c r="M756" t="str">
        <f t="shared" si="34"/>
        <v>2026-09</v>
      </c>
      <c r="N756">
        <f t="shared" si="35"/>
        <v>0.82666666666666666</v>
      </c>
    </row>
    <row r="757" spans="1:14">
      <c r="A757" t="s">
        <v>886</v>
      </c>
      <c r="B757" t="s">
        <v>407</v>
      </c>
      <c r="C757" t="s">
        <v>49</v>
      </c>
      <c r="D757" t="s">
        <v>29</v>
      </c>
      <c r="E757" s="1">
        <v>46052</v>
      </c>
      <c r="F757">
        <v>325</v>
      </c>
      <c r="G757" t="s">
        <v>35</v>
      </c>
      <c r="H757">
        <v>300</v>
      </c>
      <c r="I757">
        <v>266</v>
      </c>
      <c r="J757">
        <v>2100400.13</v>
      </c>
      <c r="K757">
        <v>468898.24</v>
      </c>
      <c r="L757">
        <f t="shared" si="33"/>
        <v>1631501.89</v>
      </c>
      <c r="M757" t="str">
        <f t="shared" si="34"/>
        <v>2026-01</v>
      </c>
      <c r="N757">
        <f t="shared" si="35"/>
        <v>0.88666666666666671</v>
      </c>
    </row>
    <row r="758" spans="1:14">
      <c r="A758" t="s">
        <v>887</v>
      </c>
      <c r="B758" t="s">
        <v>102</v>
      </c>
      <c r="C758" t="s">
        <v>45</v>
      </c>
      <c r="D758" t="s">
        <v>55</v>
      </c>
      <c r="E758" s="1">
        <v>46151</v>
      </c>
      <c r="F758">
        <v>373</v>
      </c>
      <c r="G758" t="s">
        <v>31</v>
      </c>
      <c r="H758">
        <v>180</v>
      </c>
      <c r="I758">
        <v>121</v>
      </c>
      <c r="J758">
        <v>1787602.5</v>
      </c>
      <c r="K758">
        <v>474682.22</v>
      </c>
      <c r="L758">
        <f t="shared" si="33"/>
        <v>1312920.28</v>
      </c>
      <c r="M758" t="str">
        <f t="shared" si="34"/>
        <v>2026-05</v>
      </c>
      <c r="N758">
        <f t="shared" si="35"/>
        <v>0.67222222222222228</v>
      </c>
    </row>
    <row r="759" spans="1:14">
      <c r="A759" t="s">
        <v>888</v>
      </c>
      <c r="B759" t="s">
        <v>96</v>
      </c>
      <c r="C759" t="s">
        <v>69</v>
      </c>
      <c r="D759" t="s">
        <v>30</v>
      </c>
      <c r="E759" s="1">
        <v>46074</v>
      </c>
      <c r="F759">
        <v>155</v>
      </c>
      <c r="G759" t="s">
        <v>41</v>
      </c>
      <c r="H759">
        <v>150</v>
      </c>
      <c r="I759">
        <v>109</v>
      </c>
      <c r="J759">
        <v>666570.69999999995</v>
      </c>
      <c r="K759">
        <v>199208.55</v>
      </c>
      <c r="L759">
        <f t="shared" si="33"/>
        <v>467362.14999999997</v>
      </c>
      <c r="M759" t="str">
        <f t="shared" si="34"/>
        <v>2026-02</v>
      </c>
      <c r="N759">
        <f t="shared" si="35"/>
        <v>0.72666666666666668</v>
      </c>
    </row>
    <row r="760" spans="1:14">
      <c r="A760" t="s">
        <v>889</v>
      </c>
      <c r="B760" t="s">
        <v>66</v>
      </c>
      <c r="C760" t="s">
        <v>49</v>
      </c>
      <c r="D760" t="s">
        <v>45</v>
      </c>
      <c r="E760" s="1">
        <v>46150</v>
      </c>
      <c r="F760">
        <v>453</v>
      </c>
      <c r="G760" t="s">
        <v>31</v>
      </c>
      <c r="H760">
        <v>250</v>
      </c>
      <c r="I760">
        <v>188</v>
      </c>
      <c r="J760">
        <v>1927209.47</v>
      </c>
      <c r="K760">
        <v>613791.85</v>
      </c>
      <c r="L760">
        <f t="shared" si="33"/>
        <v>1313417.6200000001</v>
      </c>
      <c r="M760" t="str">
        <f t="shared" si="34"/>
        <v>2026-05</v>
      </c>
      <c r="N760">
        <f t="shared" si="35"/>
        <v>0.752</v>
      </c>
    </row>
    <row r="761" spans="1:14">
      <c r="A761" t="s">
        <v>890</v>
      </c>
      <c r="B761" t="s">
        <v>165</v>
      </c>
      <c r="C761" t="s">
        <v>34</v>
      </c>
      <c r="D761" t="s">
        <v>29</v>
      </c>
      <c r="E761" s="1">
        <v>46221</v>
      </c>
      <c r="F761">
        <v>60</v>
      </c>
      <c r="G761" t="s">
        <v>35</v>
      </c>
      <c r="H761">
        <v>180</v>
      </c>
      <c r="I761">
        <v>93</v>
      </c>
      <c r="J761">
        <v>739638.29</v>
      </c>
      <c r="K761">
        <v>129566.69</v>
      </c>
      <c r="L761">
        <f t="shared" si="33"/>
        <v>610071.60000000009</v>
      </c>
      <c r="M761" t="str">
        <f t="shared" si="34"/>
        <v>2026-07</v>
      </c>
      <c r="N761">
        <f t="shared" si="35"/>
        <v>0.51666666666666672</v>
      </c>
    </row>
    <row r="762" spans="1:14">
      <c r="A762" t="s">
        <v>891</v>
      </c>
      <c r="B762" t="s">
        <v>307</v>
      </c>
      <c r="C762" t="s">
        <v>40</v>
      </c>
      <c r="D762" t="s">
        <v>45</v>
      </c>
      <c r="E762" s="1">
        <v>46288</v>
      </c>
      <c r="F762">
        <v>168</v>
      </c>
      <c r="G762" t="s">
        <v>46</v>
      </c>
      <c r="H762">
        <v>250</v>
      </c>
      <c r="I762">
        <v>183</v>
      </c>
      <c r="J762">
        <v>567003.51</v>
      </c>
      <c r="K762">
        <v>314700.69</v>
      </c>
      <c r="L762">
        <f t="shared" si="33"/>
        <v>252302.82</v>
      </c>
      <c r="M762" t="str">
        <f t="shared" si="34"/>
        <v>2026-09</v>
      </c>
      <c r="N762">
        <f t="shared" si="35"/>
        <v>0.73199999999999998</v>
      </c>
    </row>
    <row r="763" spans="1:14">
      <c r="A763" t="s">
        <v>892</v>
      </c>
      <c r="B763" t="s">
        <v>256</v>
      </c>
      <c r="C763" t="s">
        <v>45</v>
      </c>
      <c r="D763" t="s">
        <v>44</v>
      </c>
      <c r="E763" s="1">
        <v>46232</v>
      </c>
      <c r="F763">
        <v>105</v>
      </c>
      <c r="G763" t="s">
        <v>31</v>
      </c>
      <c r="H763">
        <v>300</v>
      </c>
      <c r="I763">
        <v>75</v>
      </c>
      <c r="J763">
        <v>347339.47</v>
      </c>
      <c r="K763">
        <v>239077.24</v>
      </c>
      <c r="L763">
        <f t="shared" si="33"/>
        <v>108262.22999999998</v>
      </c>
      <c r="M763" t="str">
        <f t="shared" si="34"/>
        <v>2026-07</v>
      </c>
      <c r="N763">
        <f t="shared" si="35"/>
        <v>0.25</v>
      </c>
    </row>
    <row r="764" spans="1:14">
      <c r="A764" t="s">
        <v>893</v>
      </c>
      <c r="B764" t="s">
        <v>357</v>
      </c>
      <c r="C764" t="s">
        <v>55</v>
      </c>
      <c r="D764" t="s">
        <v>52</v>
      </c>
      <c r="E764" s="1">
        <v>46169</v>
      </c>
      <c r="F764">
        <v>544</v>
      </c>
      <c r="G764" t="s">
        <v>31</v>
      </c>
      <c r="H764">
        <v>300</v>
      </c>
      <c r="I764">
        <v>62</v>
      </c>
      <c r="J764">
        <v>787268.84</v>
      </c>
      <c r="K764">
        <v>489094.83</v>
      </c>
      <c r="L764">
        <f t="shared" si="33"/>
        <v>298174.00999999995</v>
      </c>
      <c r="M764" t="str">
        <f t="shared" si="34"/>
        <v>2026-05</v>
      </c>
      <c r="N764">
        <f t="shared" si="35"/>
        <v>0.20666666666666667</v>
      </c>
    </row>
    <row r="765" spans="1:14">
      <c r="A765" t="s">
        <v>894</v>
      </c>
      <c r="B765" t="s">
        <v>163</v>
      </c>
      <c r="C765" t="s">
        <v>29</v>
      </c>
      <c r="D765" t="s">
        <v>69</v>
      </c>
      <c r="E765" s="1">
        <v>46123</v>
      </c>
      <c r="F765">
        <v>412</v>
      </c>
      <c r="G765" t="s">
        <v>35</v>
      </c>
      <c r="H765">
        <v>180</v>
      </c>
      <c r="I765">
        <v>89</v>
      </c>
      <c r="J765">
        <v>1111470.7</v>
      </c>
      <c r="K765">
        <v>299431.33</v>
      </c>
      <c r="L765">
        <f t="shared" si="33"/>
        <v>812039.36999999988</v>
      </c>
      <c r="M765" t="str">
        <f t="shared" si="34"/>
        <v>2026-04</v>
      </c>
      <c r="N765">
        <f t="shared" si="35"/>
        <v>0.49444444444444446</v>
      </c>
    </row>
    <row r="766" spans="1:14">
      <c r="A766" t="s">
        <v>895</v>
      </c>
      <c r="B766" t="s">
        <v>198</v>
      </c>
      <c r="C766" t="s">
        <v>45</v>
      </c>
      <c r="D766" t="s">
        <v>40</v>
      </c>
      <c r="E766" s="1">
        <v>46255</v>
      </c>
      <c r="F766">
        <v>161</v>
      </c>
      <c r="G766" t="s">
        <v>41</v>
      </c>
      <c r="H766">
        <v>150</v>
      </c>
      <c r="I766">
        <v>135</v>
      </c>
      <c r="J766">
        <v>1617095.53</v>
      </c>
      <c r="K766">
        <v>257603.23</v>
      </c>
      <c r="L766">
        <f t="shared" si="33"/>
        <v>1359492.3</v>
      </c>
      <c r="M766" t="str">
        <f t="shared" si="34"/>
        <v>2026-08</v>
      </c>
      <c r="N766">
        <f t="shared" si="35"/>
        <v>0.9</v>
      </c>
    </row>
    <row r="767" spans="1:14">
      <c r="A767" t="s">
        <v>896</v>
      </c>
      <c r="B767" t="s">
        <v>60</v>
      </c>
      <c r="C767" t="s">
        <v>44</v>
      </c>
      <c r="D767" t="s">
        <v>34</v>
      </c>
      <c r="E767" s="1">
        <v>46139</v>
      </c>
      <c r="F767">
        <v>103</v>
      </c>
      <c r="G767" t="s">
        <v>41</v>
      </c>
      <c r="H767">
        <v>300</v>
      </c>
      <c r="I767">
        <v>214</v>
      </c>
      <c r="J767">
        <v>2954910.5</v>
      </c>
      <c r="K767">
        <v>260885.83</v>
      </c>
      <c r="L767">
        <f t="shared" si="33"/>
        <v>2694024.67</v>
      </c>
      <c r="M767" t="str">
        <f t="shared" si="34"/>
        <v>2026-04</v>
      </c>
      <c r="N767">
        <f t="shared" si="35"/>
        <v>0.71333333333333337</v>
      </c>
    </row>
    <row r="768" spans="1:14">
      <c r="A768" t="s">
        <v>897</v>
      </c>
      <c r="B768" t="s">
        <v>282</v>
      </c>
      <c r="C768" t="s">
        <v>52</v>
      </c>
      <c r="D768" t="s">
        <v>29</v>
      </c>
      <c r="E768" s="1">
        <v>46266</v>
      </c>
      <c r="F768">
        <v>247</v>
      </c>
      <c r="G768" t="s">
        <v>31</v>
      </c>
      <c r="H768">
        <v>150</v>
      </c>
      <c r="I768">
        <v>140</v>
      </c>
      <c r="J768">
        <v>1668799.29</v>
      </c>
      <c r="K768">
        <v>242082.88</v>
      </c>
      <c r="L768">
        <f t="shared" si="33"/>
        <v>1426716.4100000001</v>
      </c>
      <c r="M768" t="str">
        <f t="shared" si="34"/>
        <v>2026-09</v>
      </c>
      <c r="N768">
        <f t="shared" si="35"/>
        <v>0.93333333333333335</v>
      </c>
    </row>
    <row r="769" spans="1:14">
      <c r="A769" t="s">
        <v>898</v>
      </c>
      <c r="B769" t="s">
        <v>506</v>
      </c>
      <c r="C769" t="s">
        <v>55</v>
      </c>
      <c r="D769" t="s">
        <v>34</v>
      </c>
      <c r="E769" s="1">
        <v>46030</v>
      </c>
      <c r="F769">
        <v>72</v>
      </c>
      <c r="G769" t="s">
        <v>41</v>
      </c>
      <c r="H769">
        <v>250</v>
      </c>
      <c r="I769">
        <v>84</v>
      </c>
      <c r="J769">
        <v>674109.06</v>
      </c>
      <c r="K769">
        <v>182764.92</v>
      </c>
      <c r="L769">
        <f t="shared" si="33"/>
        <v>491344.14</v>
      </c>
      <c r="M769" t="str">
        <f t="shared" si="34"/>
        <v>2026-01</v>
      </c>
      <c r="N769">
        <f t="shared" si="35"/>
        <v>0.33600000000000002</v>
      </c>
    </row>
    <row r="770" spans="1:14">
      <c r="A770" t="s">
        <v>899</v>
      </c>
      <c r="B770" t="s">
        <v>226</v>
      </c>
      <c r="C770" t="s">
        <v>69</v>
      </c>
      <c r="D770" t="s">
        <v>55</v>
      </c>
      <c r="E770" s="1">
        <v>46271</v>
      </c>
      <c r="F770">
        <v>234</v>
      </c>
      <c r="G770" t="s">
        <v>31</v>
      </c>
      <c r="H770">
        <v>180</v>
      </c>
      <c r="I770">
        <v>127</v>
      </c>
      <c r="J770">
        <v>1649112.38</v>
      </c>
      <c r="K770">
        <v>266175.43</v>
      </c>
      <c r="L770">
        <f t="shared" si="33"/>
        <v>1382936.95</v>
      </c>
      <c r="M770" t="str">
        <f t="shared" si="34"/>
        <v>2026-09</v>
      </c>
      <c r="N770">
        <f t="shared" si="35"/>
        <v>0.7055555555555556</v>
      </c>
    </row>
    <row r="771" spans="1:14">
      <c r="A771" t="s">
        <v>900</v>
      </c>
      <c r="B771" t="s">
        <v>39</v>
      </c>
      <c r="C771" t="s">
        <v>29</v>
      </c>
      <c r="D771" t="s">
        <v>40</v>
      </c>
      <c r="E771" s="1">
        <v>46257</v>
      </c>
      <c r="F771">
        <v>464</v>
      </c>
      <c r="G771" t="s">
        <v>41</v>
      </c>
      <c r="H771">
        <v>150</v>
      </c>
      <c r="I771">
        <v>126</v>
      </c>
      <c r="J771">
        <v>772675.34</v>
      </c>
      <c r="K771">
        <v>481764.34</v>
      </c>
      <c r="L771">
        <f t="shared" ref="L771:L834" si="36">J771-K771</f>
        <v>290910.99999999994</v>
      </c>
      <c r="M771" t="str">
        <f t="shared" ref="M771:M834" si="37">TEXT(E771,"YYYY-MM")</f>
        <v>2026-08</v>
      </c>
      <c r="N771">
        <f t="shared" ref="N771:N834" si="38">I771/H771</f>
        <v>0.84</v>
      </c>
    </row>
    <row r="772" spans="1:14">
      <c r="A772" t="s">
        <v>901</v>
      </c>
      <c r="B772" t="s">
        <v>379</v>
      </c>
      <c r="C772" t="s">
        <v>44</v>
      </c>
      <c r="D772" t="s">
        <v>30</v>
      </c>
      <c r="E772" s="1">
        <v>46166</v>
      </c>
      <c r="F772">
        <v>320</v>
      </c>
      <c r="G772" t="s">
        <v>41</v>
      </c>
      <c r="H772">
        <v>180</v>
      </c>
      <c r="I772">
        <v>63</v>
      </c>
      <c r="J772">
        <v>445261.26</v>
      </c>
      <c r="K772">
        <v>282050.23</v>
      </c>
      <c r="L772">
        <f t="shared" si="36"/>
        <v>163211.03000000003</v>
      </c>
      <c r="M772" t="str">
        <f t="shared" si="37"/>
        <v>2026-05</v>
      </c>
      <c r="N772">
        <f t="shared" si="38"/>
        <v>0.35</v>
      </c>
    </row>
    <row r="773" spans="1:14">
      <c r="A773" t="s">
        <v>902</v>
      </c>
      <c r="B773" t="s">
        <v>71</v>
      </c>
      <c r="C773" t="s">
        <v>44</v>
      </c>
      <c r="D773" t="s">
        <v>40</v>
      </c>
      <c r="E773" s="1">
        <v>46301</v>
      </c>
      <c r="F773">
        <v>478</v>
      </c>
      <c r="G773" t="s">
        <v>31</v>
      </c>
      <c r="H773">
        <v>150</v>
      </c>
      <c r="I773">
        <v>148</v>
      </c>
      <c r="J773">
        <v>1630688.86</v>
      </c>
      <c r="K773">
        <v>613738.73</v>
      </c>
      <c r="L773">
        <f t="shared" si="36"/>
        <v>1016950.1300000001</v>
      </c>
      <c r="M773" t="str">
        <f t="shared" si="37"/>
        <v>2026-10</v>
      </c>
      <c r="N773">
        <f t="shared" si="38"/>
        <v>0.98666666666666669</v>
      </c>
    </row>
    <row r="774" spans="1:14">
      <c r="A774" t="s">
        <v>903</v>
      </c>
      <c r="B774" t="s">
        <v>226</v>
      </c>
      <c r="C774" t="s">
        <v>69</v>
      </c>
      <c r="D774" t="s">
        <v>55</v>
      </c>
      <c r="E774" s="1">
        <v>46023</v>
      </c>
      <c r="F774">
        <v>117</v>
      </c>
      <c r="G774" t="s">
        <v>41</v>
      </c>
      <c r="H774">
        <v>150</v>
      </c>
      <c r="I774">
        <v>132</v>
      </c>
      <c r="J774">
        <v>1176396.1399999999</v>
      </c>
      <c r="K774">
        <v>161263.60999999999</v>
      </c>
      <c r="L774">
        <f t="shared" si="36"/>
        <v>1015132.5299999999</v>
      </c>
      <c r="M774" t="str">
        <f t="shared" si="37"/>
        <v>2026-01</v>
      </c>
      <c r="N774">
        <f t="shared" si="38"/>
        <v>0.88</v>
      </c>
    </row>
    <row r="775" spans="1:14">
      <c r="A775" t="s">
        <v>904</v>
      </c>
      <c r="B775" t="s">
        <v>137</v>
      </c>
      <c r="C775" t="s">
        <v>69</v>
      </c>
      <c r="D775" t="s">
        <v>34</v>
      </c>
      <c r="E775" s="1">
        <v>46230</v>
      </c>
      <c r="F775">
        <v>258</v>
      </c>
      <c r="G775" t="s">
        <v>35</v>
      </c>
      <c r="H775">
        <v>250</v>
      </c>
      <c r="I775">
        <v>204</v>
      </c>
      <c r="J775">
        <v>701401.89</v>
      </c>
      <c r="K775">
        <v>366024.13</v>
      </c>
      <c r="L775">
        <f t="shared" si="36"/>
        <v>335377.76</v>
      </c>
      <c r="M775" t="str">
        <f t="shared" si="37"/>
        <v>2026-07</v>
      </c>
      <c r="N775">
        <f t="shared" si="38"/>
        <v>0.81599999999999995</v>
      </c>
    </row>
    <row r="776" spans="1:14">
      <c r="A776" t="s">
        <v>905</v>
      </c>
      <c r="B776" t="s">
        <v>51</v>
      </c>
      <c r="C776" t="s">
        <v>52</v>
      </c>
      <c r="D776" t="s">
        <v>30</v>
      </c>
      <c r="E776" s="1">
        <v>46236</v>
      </c>
      <c r="F776">
        <v>129</v>
      </c>
      <c r="G776" t="s">
        <v>35</v>
      </c>
      <c r="H776">
        <v>300</v>
      </c>
      <c r="I776">
        <v>153</v>
      </c>
      <c r="J776">
        <v>1749611.7</v>
      </c>
      <c r="K776">
        <v>226846.02</v>
      </c>
      <c r="L776">
        <f t="shared" si="36"/>
        <v>1522765.68</v>
      </c>
      <c r="M776" t="str">
        <f t="shared" si="37"/>
        <v>2026-08</v>
      </c>
      <c r="N776">
        <f t="shared" si="38"/>
        <v>0.51</v>
      </c>
    </row>
    <row r="777" spans="1:14">
      <c r="A777" t="s">
        <v>906</v>
      </c>
      <c r="B777" t="s">
        <v>28</v>
      </c>
      <c r="C777" t="s">
        <v>29</v>
      </c>
      <c r="D777" t="s">
        <v>30</v>
      </c>
      <c r="E777" s="1">
        <v>46296</v>
      </c>
      <c r="F777">
        <v>442</v>
      </c>
      <c r="G777" t="s">
        <v>41</v>
      </c>
      <c r="H777">
        <v>250</v>
      </c>
      <c r="I777">
        <v>241</v>
      </c>
      <c r="J777">
        <v>2177873.59</v>
      </c>
      <c r="K777">
        <v>526759.15</v>
      </c>
      <c r="L777">
        <f t="shared" si="36"/>
        <v>1651114.44</v>
      </c>
      <c r="M777" t="str">
        <f t="shared" si="37"/>
        <v>2026-10</v>
      </c>
      <c r="N777">
        <f t="shared" si="38"/>
        <v>0.96399999999999997</v>
      </c>
    </row>
    <row r="778" spans="1:14">
      <c r="A778" t="s">
        <v>907</v>
      </c>
      <c r="B778" t="s">
        <v>169</v>
      </c>
      <c r="C778" t="s">
        <v>34</v>
      </c>
      <c r="D778" t="s">
        <v>40</v>
      </c>
      <c r="E778" s="1">
        <v>46047</v>
      </c>
      <c r="F778">
        <v>461</v>
      </c>
      <c r="G778" t="s">
        <v>41</v>
      </c>
      <c r="H778">
        <v>250</v>
      </c>
      <c r="I778">
        <v>219</v>
      </c>
      <c r="J778">
        <v>2384115.4500000002</v>
      </c>
      <c r="K778">
        <v>497174.74</v>
      </c>
      <c r="L778">
        <f t="shared" si="36"/>
        <v>1886940.7100000002</v>
      </c>
      <c r="M778" t="str">
        <f t="shared" si="37"/>
        <v>2026-01</v>
      </c>
      <c r="N778">
        <f t="shared" si="38"/>
        <v>0.876</v>
      </c>
    </row>
    <row r="779" spans="1:14">
      <c r="A779" t="s">
        <v>908</v>
      </c>
      <c r="B779" t="s">
        <v>230</v>
      </c>
      <c r="C779" t="s">
        <v>49</v>
      </c>
      <c r="D779" t="s">
        <v>34</v>
      </c>
      <c r="E779" s="1">
        <v>46141</v>
      </c>
      <c r="F779">
        <v>590</v>
      </c>
      <c r="G779" t="s">
        <v>31</v>
      </c>
      <c r="H779">
        <v>300</v>
      </c>
      <c r="I779">
        <v>223</v>
      </c>
      <c r="J779">
        <v>2333550.89</v>
      </c>
      <c r="K779">
        <v>653871.56999999995</v>
      </c>
      <c r="L779">
        <f t="shared" si="36"/>
        <v>1679679.3200000003</v>
      </c>
      <c r="M779" t="str">
        <f t="shared" si="37"/>
        <v>2026-04</v>
      </c>
      <c r="N779">
        <f t="shared" si="38"/>
        <v>0.74333333333333329</v>
      </c>
    </row>
    <row r="780" spans="1:14">
      <c r="A780" t="s">
        <v>909</v>
      </c>
      <c r="B780" t="s">
        <v>102</v>
      </c>
      <c r="C780" t="s">
        <v>45</v>
      </c>
      <c r="D780" t="s">
        <v>55</v>
      </c>
      <c r="E780" s="1">
        <v>46025</v>
      </c>
      <c r="F780">
        <v>87</v>
      </c>
      <c r="G780" t="s">
        <v>41</v>
      </c>
      <c r="H780">
        <v>150</v>
      </c>
      <c r="I780">
        <v>136</v>
      </c>
      <c r="J780">
        <v>1448224.56</v>
      </c>
      <c r="K780">
        <v>162125.99</v>
      </c>
      <c r="L780">
        <f t="shared" si="36"/>
        <v>1286098.57</v>
      </c>
      <c r="M780" t="str">
        <f t="shared" si="37"/>
        <v>2026-01</v>
      </c>
      <c r="N780">
        <f t="shared" si="38"/>
        <v>0.90666666666666662</v>
      </c>
    </row>
    <row r="781" spans="1:14">
      <c r="A781" t="s">
        <v>910</v>
      </c>
      <c r="B781" t="s">
        <v>205</v>
      </c>
      <c r="C781" t="s">
        <v>52</v>
      </c>
      <c r="D781" t="s">
        <v>44</v>
      </c>
      <c r="E781" s="1">
        <v>46256</v>
      </c>
      <c r="F781">
        <v>362</v>
      </c>
      <c r="G781" t="s">
        <v>31</v>
      </c>
      <c r="H781">
        <v>250</v>
      </c>
      <c r="I781">
        <v>190</v>
      </c>
      <c r="J781">
        <v>2433700.4</v>
      </c>
      <c r="K781">
        <v>542479.23</v>
      </c>
      <c r="L781">
        <f t="shared" si="36"/>
        <v>1891221.17</v>
      </c>
      <c r="M781" t="str">
        <f t="shared" si="37"/>
        <v>2026-08</v>
      </c>
      <c r="N781">
        <f t="shared" si="38"/>
        <v>0.76</v>
      </c>
    </row>
    <row r="782" spans="1:14">
      <c r="A782" t="s">
        <v>911</v>
      </c>
      <c r="B782" t="s">
        <v>98</v>
      </c>
      <c r="C782" t="s">
        <v>40</v>
      </c>
      <c r="D782" t="s">
        <v>34</v>
      </c>
      <c r="E782" s="1">
        <v>46130</v>
      </c>
      <c r="F782">
        <v>276</v>
      </c>
      <c r="G782" t="s">
        <v>31</v>
      </c>
      <c r="H782">
        <v>300</v>
      </c>
      <c r="I782">
        <v>105</v>
      </c>
      <c r="J782">
        <v>547739.53</v>
      </c>
      <c r="K782">
        <v>364406.74</v>
      </c>
      <c r="L782">
        <f t="shared" si="36"/>
        <v>183332.79000000004</v>
      </c>
      <c r="M782" t="str">
        <f t="shared" si="37"/>
        <v>2026-04</v>
      </c>
      <c r="N782">
        <f t="shared" si="38"/>
        <v>0.35</v>
      </c>
    </row>
    <row r="783" spans="1:14">
      <c r="A783" t="s">
        <v>912</v>
      </c>
      <c r="B783" t="s">
        <v>167</v>
      </c>
      <c r="C783" t="s">
        <v>30</v>
      </c>
      <c r="D783" t="s">
        <v>69</v>
      </c>
      <c r="E783" s="1">
        <v>46098</v>
      </c>
      <c r="F783">
        <v>493</v>
      </c>
      <c r="G783" t="s">
        <v>31</v>
      </c>
      <c r="H783">
        <v>300</v>
      </c>
      <c r="I783">
        <v>172</v>
      </c>
      <c r="J783">
        <v>2315531.9300000002</v>
      </c>
      <c r="K783">
        <v>633712.91</v>
      </c>
      <c r="L783">
        <f t="shared" si="36"/>
        <v>1681819.02</v>
      </c>
      <c r="M783" t="str">
        <f t="shared" si="37"/>
        <v>2026-03</v>
      </c>
      <c r="N783">
        <f t="shared" si="38"/>
        <v>0.57333333333333336</v>
      </c>
    </row>
    <row r="784" spans="1:14">
      <c r="A784" t="s">
        <v>913</v>
      </c>
      <c r="B784" t="s">
        <v>299</v>
      </c>
      <c r="C784" t="s">
        <v>34</v>
      </c>
      <c r="D784" t="s">
        <v>44</v>
      </c>
      <c r="E784" s="1">
        <v>46239</v>
      </c>
      <c r="F784">
        <v>539</v>
      </c>
      <c r="G784" t="s">
        <v>35</v>
      </c>
      <c r="H784">
        <v>150</v>
      </c>
      <c r="I784">
        <v>62</v>
      </c>
      <c r="J784">
        <v>610714.65</v>
      </c>
      <c r="K784">
        <v>543363.87</v>
      </c>
      <c r="L784">
        <f t="shared" si="36"/>
        <v>67350.780000000028</v>
      </c>
      <c r="M784" t="str">
        <f t="shared" si="37"/>
        <v>2026-08</v>
      </c>
      <c r="N784">
        <f t="shared" si="38"/>
        <v>0.41333333333333333</v>
      </c>
    </row>
    <row r="785" spans="1:14">
      <c r="A785" t="s">
        <v>914</v>
      </c>
      <c r="B785" t="s">
        <v>364</v>
      </c>
      <c r="C785" t="s">
        <v>69</v>
      </c>
      <c r="D785" t="s">
        <v>49</v>
      </c>
      <c r="E785" s="1">
        <v>46164</v>
      </c>
      <c r="F785">
        <v>550</v>
      </c>
      <c r="G785" t="s">
        <v>35</v>
      </c>
      <c r="H785">
        <v>150</v>
      </c>
      <c r="I785">
        <v>149</v>
      </c>
      <c r="J785">
        <v>1747062.75</v>
      </c>
      <c r="K785">
        <v>391310.97</v>
      </c>
      <c r="L785">
        <f t="shared" si="36"/>
        <v>1355751.78</v>
      </c>
      <c r="M785" t="str">
        <f t="shared" si="37"/>
        <v>2026-05</v>
      </c>
      <c r="N785">
        <f t="shared" si="38"/>
        <v>0.99333333333333329</v>
      </c>
    </row>
    <row r="786" spans="1:14">
      <c r="A786" t="s">
        <v>915</v>
      </c>
      <c r="B786" t="s">
        <v>307</v>
      </c>
      <c r="C786" t="s">
        <v>40</v>
      </c>
      <c r="D786" t="s">
        <v>45</v>
      </c>
      <c r="E786" s="1">
        <v>46210</v>
      </c>
      <c r="F786">
        <v>542</v>
      </c>
      <c r="G786" t="s">
        <v>46</v>
      </c>
      <c r="H786">
        <v>180</v>
      </c>
      <c r="I786">
        <v>136</v>
      </c>
      <c r="J786">
        <v>903235.65</v>
      </c>
      <c r="K786">
        <v>688777.25</v>
      </c>
      <c r="L786">
        <f t="shared" si="36"/>
        <v>214458.40000000002</v>
      </c>
      <c r="M786" t="str">
        <f t="shared" si="37"/>
        <v>2026-07</v>
      </c>
      <c r="N786">
        <f t="shared" si="38"/>
        <v>0.75555555555555554</v>
      </c>
    </row>
    <row r="787" spans="1:14">
      <c r="A787" t="s">
        <v>916</v>
      </c>
      <c r="B787" t="s">
        <v>169</v>
      </c>
      <c r="C787" t="s">
        <v>34</v>
      </c>
      <c r="D787" t="s">
        <v>40</v>
      </c>
      <c r="E787" s="1">
        <v>46302</v>
      </c>
      <c r="F787">
        <v>322</v>
      </c>
      <c r="G787" t="s">
        <v>46</v>
      </c>
      <c r="H787">
        <v>150</v>
      </c>
      <c r="I787">
        <v>117</v>
      </c>
      <c r="J787">
        <v>388350</v>
      </c>
      <c r="K787">
        <v>362670.59</v>
      </c>
      <c r="L787">
        <f t="shared" si="36"/>
        <v>25679.409999999974</v>
      </c>
      <c r="M787" t="str">
        <f t="shared" si="37"/>
        <v>2026-10</v>
      </c>
      <c r="N787">
        <f t="shared" si="38"/>
        <v>0.78</v>
      </c>
    </row>
    <row r="788" spans="1:14">
      <c r="A788" t="s">
        <v>917</v>
      </c>
      <c r="B788" t="s">
        <v>202</v>
      </c>
      <c r="C788" t="s">
        <v>29</v>
      </c>
      <c r="D788" t="s">
        <v>55</v>
      </c>
      <c r="E788" s="1">
        <v>46111</v>
      </c>
      <c r="F788">
        <v>184</v>
      </c>
      <c r="G788" t="s">
        <v>41</v>
      </c>
      <c r="H788">
        <v>150</v>
      </c>
      <c r="I788">
        <v>58</v>
      </c>
      <c r="J788">
        <v>686450.81</v>
      </c>
      <c r="K788">
        <v>240588.53</v>
      </c>
      <c r="L788">
        <f t="shared" si="36"/>
        <v>445862.28</v>
      </c>
      <c r="M788" t="str">
        <f t="shared" si="37"/>
        <v>2026-03</v>
      </c>
      <c r="N788">
        <f t="shared" si="38"/>
        <v>0.38666666666666666</v>
      </c>
    </row>
    <row r="789" spans="1:14">
      <c r="A789" t="s">
        <v>918</v>
      </c>
      <c r="B789" t="s">
        <v>302</v>
      </c>
      <c r="C789" t="s">
        <v>30</v>
      </c>
      <c r="D789" t="s">
        <v>34</v>
      </c>
      <c r="E789" s="1">
        <v>46122</v>
      </c>
      <c r="F789">
        <v>311</v>
      </c>
      <c r="G789" t="s">
        <v>46</v>
      </c>
      <c r="H789">
        <v>150</v>
      </c>
      <c r="I789">
        <v>56</v>
      </c>
      <c r="J789">
        <v>418338.45</v>
      </c>
      <c r="K789">
        <v>287626.18</v>
      </c>
      <c r="L789">
        <f t="shared" si="36"/>
        <v>130712.27000000002</v>
      </c>
      <c r="M789" t="str">
        <f t="shared" si="37"/>
        <v>2026-04</v>
      </c>
      <c r="N789">
        <f t="shared" si="38"/>
        <v>0.37333333333333335</v>
      </c>
    </row>
    <row r="790" spans="1:14">
      <c r="A790" t="s">
        <v>919</v>
      </c>
      <c r="B790" t="s">
        <v>43</v>
      </c>
      <c r="C790" t="s">
        <v>44</v>
      </c>
      <c r="D790" t="s">
        <v>45</v>
      </c>
      <c r="E790" s="1">
        <v>46194</v>
      </c>
      <c r="F790">
        <v>432</v>
      </c>
      <c r="G790" t="s">
        <v>41</v>
      </c>
      <c r="H790">
        <v>250</v>
      </c>
      <c r="I790">
        <v>178</v>
      </c>
      <c r="J790">
        <v>1905994.77</v>
      </c>
      <c r="K790">
        <v>546574.81000000006</v>
      </c>
      <c r="L790">
        <f t="shared" si="36"/>
        <v>1359419.96</v>
      </c>
      <c r="M790" t="str">
        <f t="shared" si="37"/>
        <v>2026-06</v>
      </c>
      <c r="N790">
        <f t="shared" si="38"/>
        <v>0.71199999999999997</v>
      </c>
    </row>
    <row r="791" spans="1:14">
      <c r="A791" t="s">
        <v>920</v>
      </c>
      <c r="B791" t="s">
        <v>302</v>
      </c>
      <c r="C791" t="s">
        <v>30</v>
      </c>
      <c r="D791" t="s">
        <v>34</v>
      </c>
      <c r="E791" s="1">
        <v>46190</v>
      </c>
      <c r="F791">
        <v>456</v>
      </c>
      <c r="G791" t="s">
        <v>35</v>
      </c>
      <c r="H791">
        <v>180</v>
      </c>
      <c r="I791">
        <v>128</v>
      </c>
      <c r="J791">
        <v>769226.23999999999</v>
      </c>
      <c r="K791">
        <v>538152.76</v>
      </c>
      <c r="L791">
        <f t="shared" si="36"/>
        <v>231073.47999999998</v>
      </c>
      <c r="M791" t="str">
        <f t="shared" si="37"/>
        <v>2026-06</v>
      </c>
      <c r="N791">
        <f t="shared" si="38"/>
        <v>0.71111111111111114</v>
      </c>
    </row>
    <row r="792" spans="1:14">
      <c r="A792" t="s">
        <v>921</v>
      </c>
      <c r="B792" t="s">
        <v>226</v>
      </c>
      <c r="C792" t="s">
        <v>69</v>
      </c>
      <c r="D792" t="s">
        <v>55</v>
      </c>
      <c r="E792" s="1">
        <v>46237</v>
      </c>
      <c r="F792">
        <v>220</v>
      </c>
      <c r="G792" t="s">
        <v>46</v>
      </c>
      <c r="H792">
        <v>300</v>
      </c>
      <c r="I792">
        <v>255</v>
      </c>
      <c r="J792">
        <v>2167346.64</v>
      </c>
      <c r="K792">
        <v>361554.63</v>
      </c>
      <c r="L792">
        <f t="shared" si="36"/>
        <v>1805792.0100000002</v>
      </c>
      <c r="M792" t="str">
        <f t="shared" si="37"/>
        <v>2026-08</v>
      </c>
      <c r="N792">
        <f t="shared" si="38"/>
        <v>0.85</v>
      </c>
    </row>
    <row r="793" spans="1:14">
      <c r="A793" t="s">
        <v>922</v>
      </c>
      <c r="B793" t="s">
        <v>66</v>
      </c>
      <c r="C793" t="s">
        <v>49</v>
      </c>
      <c r="D793" t="s">
        <v>45</v>
      </c>
      <c r="E793" s="1">
        <v>46073</v>
      </c>
      <c r="F793">
        <v>535</v>
      </c>
      <c r="G793" t="s">
        <v>31</v>
      </c>
      <c r="H793">
        <v>300</v>
      </c>
      <c r="I793">
        <v>133</v>
      </c>
      <c r="J793">
        <v>560619.23</v>
      </c>
      <c r="K793">
        <v>744278.97</v>
      </c>
      <c r="L793">
        <f t="shared" si="36"/>
        <v>-183659.74</v>
      </c>
      <c r="M793" t="str">
        <f t="shared" si="37"/>
        <v>2026-02</v>
      </c>
      <c r="N793">
        <f t="shared" si="38"/>
        <v>0.44333333333333336</v>
      </c>
    </row>
    <row r="794" spans="1:14">
      <c r="A794" t="s">
        <v>923</v>
      </c>
      <c r="B794" t="s">
        <v>370</v>
      </c>
      <c r="C794" t="s">
        <v>44</v>
      </c>
      <c r="D794" t="s">
        <v>29</v>
      </c>
      <c r="E794" s="1">
        <v>46048</v>
      </c>
      <c r="F794">
        <v>469</v>
      </c>
      <c r="G794" t="s">
        <v>46</v>
      </c>
      <c r="H794">
        <v>250</v>
      </c>
      <c r="I794">
        <v>58</v>
      </c>
      <c r="J794">
        <v>189130.23</v>
      </c>
      <c r="K794">
        <v>530403.31000000006</v>
      </c>
      <c r="L794">
        <f t="shared" si="36"/>
        <v>-341273.08000000007</v>
      </c>
      <c r="M794" t="str">
        <f t="shared" si="37"/>
        <v>2026-01</v>
      </c>
      <c r="N794">
        <f t="shared" si="38"/>
        <v>0.23200000000000001</v>
      </c>
    </row>
    <row r="795" spans="1:14">
      <c r="A795" t="s">
        <v>924</v>
      </c>
      <c r="B795" t="s">
        <v>530</v>
      </c>
      <c r="C795" t="s">
        <v>34</v>
      </c>
      <c r="D795" t="s">
        <v>45</v>
      </c>
      <c r="E795" s="1">
        <v>46286</v>
      </c>
      <c r="F795">
        <v>333</v>
      </c>
      <c r="G795" t="s">
        <v>46</v>
      </c>
      <c r="H795">
        <v>300</v>
      </c>
      <c r="I795">
        <v>221</v>
      </c>
      <c r="J795">
        <v>2423393.34</v>
      </c>
      <c r="K795">
        <v>430678.92</v>
      </c>
      <c r="L795">
        <f t="shared" si="36"/>
        <v>1992714.42</v>
      </c>
      <c r="M795" t="str">
        <f t="shared" si="37"/>
        <v>2026-09</v>
      </c>
      <c r="N795">
        <f t="shared" si="38"/>
        <v>0.73666666666666669</v>
      </c>
    </row>
    <row r="796" spans="1:14">
      <c r="A796" t="s">
        <v>925</v>
      </c>
      <c r="B796" t="s">
        <v>92</v>
      </c>
      <c r="C796" t="s">
        <v>44</v>
      </c>
      <c r="D796" t="s">
        <v>69</v>
      </c>
      <c r="E796" s="1">
        <v>46190</v>
      </c>
      <c r="F796">
        <v>140</v>
      </c>
      <c r="G796" t="s">
        <v>41</v>
      </c>
      <c r="H796">
        <v>180</v>
      </c>
      <c r="I796">
        <v>145</v>
      </c>
      <c r="J796">
        <v>832338.77</v>
      </c>
      <c r="K796">
        <v>181570.76</v>
      </c>
      <c r="L796">
        <f t="shared" si="36"/>
        <v>650768.01</v>
      </c>
      <c r="M796" t="str">
        <f t="shared" si="37"/>
        <v>2026-06</v>
      </c>
      <c r="N796">
        <f t="shared" si="38"/>
        <v>0.80555555555555558</v>
      </c>
    </row>
    <row r="797" spans="1:14">
      <c r="A797" t="s">
        <v>926</v>
      </c>
      <c r="B797" t="s">
        <v>379</v>
      </c>
      <c r="C797" t="s">
        <v>44</v>
      </c>
      <c r="D797" t="s">
        <v>30</v>
      </c>
      <c r="E797" s="1">
        <v>46216</v>
      </c>
      <c r="F797">
        <v>561</v>
      </c>
      <c r="G797" t="s">
        <v>41</v>
      </c>
      <c r="H797">
        <v>300</v>
      </c>
      <c r="I797">
        <v>96</v>
      </c>
      <c r="J797">
        <v>708065.27</v>
      </c>
      <c r="K797">
        <v>767303.24</v>
      </c>
      <c r="L797">
        <f t="shared" si="36"/>
        <v>-59237.969999999972</v>
      </c>
      <c r="M797" t="str">
        <f t="shared" si="37"/>
        <v>2026-07</v>
      </c>
      <c r="N797">
        <f t="shared" si="38"/>
        <v>0.32</v>
      </c>
    </row>
    <row r="798" spans="1:14">
      <c r="A798" t="s">
        <v>927</v>
      </c>
      <c r="B798" t="s">
        <v>163</v>
      </c>
      <c r="C798" t="s">
        <v>29</v>
      </c>
      <c r="D798" t="s">
        <v>69</v>
      </c>
      <c r="E798" s="1">
        <v>46277</v>
      </c>
      <c r="F798">
        <v>412</v>
      </c>
      <c r="G798" t="s">
        <v>41</v>
      </c>
      <c r="H798">
        <v>150</v>
      </c>
      <c r="I798">
        <v>136</v>
      </c>
      <c r="J798">
        <v>1625250.44</v>
      </c>
      <c r="K798">
        <v>510185.88</v>
      </c>
      <c r="L798">
        <f t="shared" si="36"/>
        <v>1115064.56</v>
      </c>
      <c r="M798" t="str">
        <f t="shared" si="37"/>
        <v>2026-09</v>
      </c>
      <c r="N798">
        <f t="shared" si="38"/>
        <v>0.90666666666666662</v>
      </c>
    </row>
    <row r="799" spans="1:14">
      <c r="A799" t="s">
        <v>928</v>
      </c>
      <c r="B799" t="s">
        <v>153</v>
      </c>
      <c r="C799" t="s">
        <v>69</v>
      </c>
      <c r="D799" t="s">
        <v>40</v>
      </c>
      <c r="E799" s="1">
        <v>46027</v>
      </c>
      <c r="F799">
        <v>503</v>
      </c>
      <c r="G799" t="s">
        <v>35</v>
      </c>
      <c r="H799">
        <v>250</v>
      </c>
      <c r="I799">
        <v>70</v>
      </c>
      <c r="J799">
        <v>528265.16</v>
      </c>
      <c r="K799">
        <v>388723.56</v>
      </c>
      <c r="L799">
        <f t="shared" si="36"/>
        <v>139541.60000000003</v>
      </c>
      <c r="M799" t="str">
        <f t="shared" si="37"/>
        <v>2026-01</v>
      </c>
      <c r="N799">
        <f t="shared" si="38"/>
        <v>0.28000000000000003</v>
      </c>
    </row>
    <row r="800" spans="1:14">
      <c r="A800" t="s">
        <v>929</v>
      </c>
      <c r="B800" t="s">
        <v>98</v>
      </c>
      <c r="C800" t="s">
        <v>40</v>
      </c>
      <c r="D800" t="s">
        <v>34</v>
      </c>
      <c r="E800" s="1">
        <v>46172</v>
      </c>
      <c r="F800">
        <v>511</v>
      </c>
      <c r="G800" t="s">
        <v>46</v>
      </c>
      <c r="H800">
        <v>300</v>
      </c>
      <c r="I800">
        <v>119</v>
      </c>
      <c r="J800">
        <v>1487980.46</v>
      </c>
      <c r="K800">
        <v>521507</v>
      </c>
      <c r="L800">
        <f t="shared" si="36"/>
        <v>966473.46</v>
      </c>
      <c r="M800" t="str">
        <f t="shared" si="37"/>
        <v>2026-05</v>
      </c>
      <c r="N800">
        <f t="shared" si="38"/>
        <v>0.39666666666666667</v>
      </c>
    </row>
    <row r="801" spans="1:14">
      <c r="A801" t="s">
        <v>930</v>
      </c>
      <c r="B801" t="s">
        <v>220</v>
      </c>
      <c r="C801" t="s">
        <v>34</v>
      </c>
      <c r="D801" t="s">
        <v>49</v>
      </c>
      <c r="E801" s="1">
        <v>46143</v>
      </c>
      <c r="F801">
        <v>306</v>
      </c>
      <c r="G801" t="s">
        <v>46</v>
      </c>
      <c r="H801">
        <v>150</v>
      </c>
      <c r="I801">
        <v>61</v>
      </c>
      <c r="J801">
        <v>578301.37</v>
      </c>
      <c r="K801">
        <v>326753.39</v>
      </c>
      <c r="L801">
        <f t="shared" si="36"/>
        <v>251547.97999999998</v>
      </c>
      <c r="M801" t="str">
        <f t="shared" si="37"/>
        <v>2026-05</v>
      </c>
      <c r="N801">
        <f t="shared" si="38"/>
        <v>0.40666666666666668</v>
      </c>
    </row>
    <row r="802" spans="1:14">
      <c r="A802" t="s">
        <v>931</v>
      </c>
      <c r="B802" t="s">
        <v>96</v>
      </c>
      <c r="C802" t="s">
        <v>69</v>
      </c>
      <c r="D802" t="s">
        <v>30</v>
      </c>
      <c r="E802" s="1">
        <v>46280</v>
      </c>
      <c r="F802">
        <v>312</v>
      </c>
      <c r="G802" t="s">
        <v>46</v>
      </c>
      <c r="H802">
        <v>180</v>
      </c>
      <c r="I802">
        <v>162</v>
      </c>
      <c r="J802">
        <v>2197202.1</v>
      </c>
      <c r="K802">
        <v>455861.47</v>
      </c>
      <c r="L802">
        <f t="shared" si="36"/>
        <v>1741340.6300000001</v>
      </c>
      <c r="M802" t="str">
        <f t="shared" si="37"/>
        <v>2026-09</v>
      </c>
      <c r="N802">
        <f t="shared" si="38"/>
        <v>0.9</v>
      </c>
    </row>
    <row r="803" spans="1:14">
      <c r="A803" t="s">
        <v>932</v>
      </c>
      <c r="B803" t="s">
        <v>94</v>
      </c>
      <c r="C803" t="s">
        <v>34</v>
      </c>
      <c r="D803" t="s">
        <v>30</v>
      </c>
      <c r="E803" s="1">
        <v>46160</v>
      </c>
      <c r="F803">
        <v>233</v>
      </c>
      <c r="G803" t="s">
        <v>35</v>
      </c>
      <c r="H803">
        <v>150</v>
      </c>
      <c r="I803">
        <v>92</v>
      </c>
      <c r="J803">
        <v>1005715.1</v>
      </c>
      <c r="K803">
        <v>244165.16</v>
      </c>
      <c r="L803">
        <f t="shared" si="36"/>
        <v>761549.94</v>
      </c>
      <c r="M803" t="str">
        <f t="shared" si="37"/>
        <v>2026-05</v>
      </c>
      <c r="N803">
        <f t="shared" si="38"/>
        <v>0.61333333333333329</v>
      </c>
    </row>
    <row r="804" spans="1:14">
      <c r="A804" t="s">
        <v>933</v>
      </c>
      <c r="B804" t="s">
        <v>33</v>
      </c>
      <c r="C804" t="s">
        <v>29</v>
      </c>
      <c r="D804" t="s">
        <v>34</v>
      </c>
      <c r="E804" s="1">
        <v>46043</v>
      </c>
      <c r="F804">
        <v>211</v>
      </c>
      <c r="G804" t="s">
        <v>46</v>
      </c>
      <c r="H804">
        <v>250</v>
      </c>
      <c r="I804">
        <v>144</v>
      </c>
      <c r="J804">
        <v>1310107.03</v>
      </c>
      <c r="K804">
        <v>239800.88</v>
      </c>
      <c r="L804">
        <f t="shared" si="36"/>
        <v>1070306.1499999999</v>
      </c>
      <c r="M804" t="str">
        <f t="shared" si="37"/>
        <v>2026-01</v>
      </c>
      <c r="N804">
        <f t="shared" si="38"/>
        <v>0.57599999999999996</v>
      </c>
    </row>
    <row r="805" spans="1:14">
      <c r="A805" t="s">
        <v>934</v>
      </c>
      <c r="B805" t="s">
        <v>98</v>
      </c>
      <c r="C805" t="s">
        <v>40</v>
      </c>
      <c r="D805" t="s">
        <v>34</v>
      </c>
      <c r="E805" s="1">
        <v>46090</v>
      </c>
      <c r="F805">
        <v>232</v>
      </c>
      <c r="G805" t="s">
        <v>35</v>
      </c>
      <c r="H805">
        <v>250</v>
      </c>
      <c r="I805">
        <v>174</v>
      </c>
      <c r="J805">
        <v>2469364.2599999998</v>
      </c>
      <c r="K805">
        <v>339243.88</v>
      </c>
      <c r="L805">
        <f t="shared" si="36"/>
        <v>2130120.38</v>
      </c>
      <c r="M805" t="str">
        <f t="shared" si="37"/>
        <v>2026-03</v>
      </c>
      <c r="N805">
        <f t="shared" si="38"/>
        <v>0.69599999999999995</v>
      </c>
    </row>
    <row r="806" spans="1:14">
      <c r="A806" t="s">
        <v>935</v>
      </c>
      <c r="B806" t="s">
        <v>86</v>
      </c>
      <c r="C806" t="s">
        <v>45</v>
      </c>
      <c r="D806" t="s">
        <v>49</v>
      </c>
      <c r="E806" s="1">
        <v>46062</v>
      </c>
      <c r="F806">
        <v>332</v>
      </c>
      <c r="G806" t="s">
        <v>35</v>
      </c>
      <c r="H806">
        <v>250</v>
      </c>
      <c r="I806">
        <v>142</v>
      </c>
      <c r="J806">
        <v>898004.28</v>
      </c>
      <c r="K806">
        <v>415311.71</v>
      </c>
      <c r="L806">
        <f t="shared" si="36"/>
        <v>482692.57</v>
      </c>
      <c r="M806" t="str">
        <f t="shared" si="37"/>
        <v>2026-02</v>
      </c>
      <c r="N806">
        <f t="shared" si="38"/>
        <v>0.56799999999999995</v>
      </c>
    </row>
    <row r="807" spans="1:14">
      <c r="A807" t="s">
        <v>936</v>
      </c>
      <c r="B807" t="s">
        <v>165</v>
      </c>
      <c r="C807" t="s">
        <v>34</v>
      </c>
      <c r="D807" t="s">
        <v>29</v>
      </c>
      <c r="E807" s="1">
        <v>46295</v>
      </c>
      <c r="F807">
        <v>288</v>
      </c>
      <c r="G807" t="s">
        <v>35</v>
      </c>
      <c r="H807">
        <v>250</v>
      </c>
      <c r="I807">
        <v>214</v>
      </c>
      <c r="J807">
        <v>1237415.49</v>
      </c>
      <c r="K807">
        <v>429865.35</v>
      </c>
      <c r="L807">
        <f t="shared" si="36"/>
        <v>807550.14</v>
      </c>
      <c r="M807" t="str">
        <f t="shared" si="37"/>
        <v>2026-09</v>
      </c>
      <c r="N807">
        <f t="shared" si="38"/>
        <v>0.85599999999999998</v>
      </c>
    </row>
    <row r="808" spans="1:14">
      <c r="A808" t="s">
        <v>937</v>
      </c>
      <c r="B808" t="s">
        <v>147</v>
      </c>
      <c r="C808" t="s">
        <v>29</v>
      </c>
      <c r="D808" t="s">
        <v>49</v>
      </c>
      <c r="E808" s="1">
        <v>46142</v>
      </c>
      <c r="F808">
        <v>584</v>
      </c>
      <c r="G808" t="s">
        <v>41</v>
      </c>
      <c r="H808">
        <v>150</v>
      </c>
      <c r="I808">
        <v>126</v>
      </c>
      <c r="J808">
        <v>1866171.96</v>
      </c>
      <c r="K808">
        <v>707022.73</v>
      </c>
      <c r="L808">
        <f t="shared" si="36"/>
        <v>1159149.23</v>
      </c>
      <c r="M808" t="str">
        <f t="shared" si="37"/>
        <v>2026-04</v>
      </c>
      <c r="N808">
        <f t="shared" si="38"/>
        <v>0.84</v>
      </c>
    </row>
    <row r="809" spans="1:14">
      <c r="A809" t="s">
        <v>938</v>
      </c>
      <c r="B809" t="s">
        <v>506</v>
      </c>
      <c r="C809" t="s">
        <v>55</v>
      </c>
      <c r="D809" t="s">
        <v>34</v>
      </c>
      <c r="E809" s="1">
        <v>46177</v>
      </c>
      <c r="F809">
        <v>307</v>
      </c>
      <c r="G809" t="s">
        <v>35</v>
      </c>
      <c r="H809">
        <v>180</v>
      </c>
      <c r="I809">
        <v>116</v>
      </c>
      <c r="J809">
        <v>1051775.48</v>
      </c>
      <c r="K809">
        <v>332297.40999999997</v>
      </c>
      <c r="L809">
        <f t="shared" si="36"/>
        <v>719478.07000000007</v>
      </c>
      <c r="M809" t="str">
        <f t="shared" si="37"/>
        <v>2026-06</v>
      </c>
      <c r="N809">
        <f t="shared" si="38"/>
        <v>0.64444444444444449</v>
      </c>
    </row>
    <row r="810" spans="1:14">
      <c r="A810" t="s">
        <v>939</v>
      </c>
      <c r="B810" t="s">
        <v>163</v>
      </c>
      <c r="C810" t="s">
        <v>29</v>
      </c>
      <c r="D810" t="s">
        <v>69</v>
      </c>
      <c r="E810" s="1">
        <v>46089</v>
      </c>
      <c r="F810">
        <v>441</v>
      </c>
      <c r="G810" t="s">
        <v>46</v>
      </c>
      <c r="H810">
        <v>250</v>
      </c>
      <c r="I810">
        <v>231</v>
      </c>
      <c r="J810">
        <v>3212519.99</v>
      </c>
      <c r="K810">
        <v>636292.76</v>
      </c>
      <c r="L810">
        <f t="shared" si="36"/>
        <v>2576227.2300000004</v>
      </c>
      <c r="M810" t="str">
        <f t="shared" si="37"/>
        <v>2026-03</v>
      </c>
      <c r="N810">
        <f t="shared" si="38"/>
        <v>0.92400000000000004</v>
      </c>
    </row>
    <row r="811" spans="1:14">
      <c r="A811" t="s">
        <v>940</v>
      </c>
      <c r="B811" t="s">
        <v>208</v>
      </c>
      <c r="C811" t="s">
        <v>44</v>
      </c>
      <c r="D811" t="s">
        <v>49</v>
      </c>
      <c r="E811" s="1">
        <v>46131</v>
      </c>
      <c r="F811">
        <v>487</v>
      </c>
      <c r="G811" t="s">
        <v>46</v>
      </c>
      <c r="H811">
        <v>180</v>
      </c>
      <c r="I811">
        <v>148</v>
      </c>
      <c r="J811">
        <v>1141126.53</v>
      </c>
      <c r="K811">
        <v>432832.94</v>
      </c>
      <c r="L811">
        <f t="shared" si="36"/>
        <v>708293.59000000008</v>
      </c>
      <c r="M811" t="str">
        <f t="shared" si="37"/>
        <v>2026-04</v>
      </c>
      <c r="N811">
        <f t="shared" si="38"/>
        <v>0.82222222222222219</v>
      </c>
    </row>
    <row r="812" spans="1:14">
      <c r="A812" t="s">
        <v>941</v>
      </c>
      <c r="B812" t="s">
        <v>113</v>
      </c>
      <c r="C812" t="s">
        <v>44</v>
      </c>
      <c r="D812" t="s">
        <v>55</v>
      </c>
      <c r="E812" s="1">
        <v>46241</v>
      </c>
      <c r="F812">
        <v>468</v>
      </c>
      <c r="G812" t="s">
        <v>46</v>
      </c>
      <c r="H812">
        <v>250</v>
      </c>
      <c r="I812">
        <v>52</v>
      </c>
      <c r="J812">
        <v>628656.61</v>
      </c>
      <c r="K812">
        <v>432227.71</v>
      </c>
      <c r="L812">
        <f t="shared" si="36"/>
        <v>196428.89999999997</v>
      </c>
      <c r="M812" t="str">
        <f t="shared" si="37"/>
        <v>2026-08</v>
      </c>
      <c r="N812">
        <f t="shared" si="38"/>
        <v>0.20799999999999999</v>
      </c>
    </row>
    <row r="813" spans="1:14">
      <c r="A813" t="s">
        <v>942</v>
      </c>
      <c r="B813" t="s">
        <v>116</v>
      </c>
      <c r="C813" t="s">
        <v>30</v>
      </c>
      <c r="D813" t="s">
        <v>44</v>
      </c>
      <c r="E813" s="1">
        <v>46258</v>
      </c>
      <c r="F813">
        <v>72</v>
      </c>
      <c r="G813" t="s">
        <v>46</v>
      </c>
      <c r="H813">
        <v>250</v>
      </c>
      <c r="I813">
        <v>96</v>
      </c>
      <c r="J813">
        <v>1098934.17</v>
      </c>
      <c r="K813">
        <v>185823.1</v>
      </c>
      <c r="L813">
        <f t="shared" si="36"/>
        <v>913111.07</v>
      </c>
      <c r="M813" t="str">
        <f t="shared" si="37"/>
        <v>2026-08</v>
      </c>
      <c r="N813">
        <f t="shared" si="38"/>
        <v>0.38400000000000001</v>
      </c>
    </row>
    <row r="814" spans="1:14">
      <c r="A814" t="s">
        <v>943</v>
      </c>
      <c r="B814" t="s">
        <v>68</v>
      </c>
      <c r="C814" t="s">
        <v>69</v>
      </c>
      <c r="D814" t="s">
        <v>45</v>
      </c>
      <c r="E814" s="1">
        <v>46133</v>
      </c>
      <c r="F814">
        <v>490</v>
      </c>
      <c r="G814" t="s">
        <v>46</v>
      </c>
      <c r="H814">
        <v>250</v>
      </c>
      <c r="I814">
        <v>139</v>
      </c>
      <c r="J814">
        <v>820982.75</v>
      </c>
      <c r="K814">
        <v>427986.81</v>
      </c>
      <c r="L814">
        <f t="shared" si="36"/>
        <v>392995.94</v>
      </c>
      <c r="M814" t="str">
        <f t="shared" si="37"/>
        <v>2026-04</v>
      </c>
      <c r="N814">
        <f t="shared" si="38"/>
        <v>0.55600000000000005</v>
      </c>
    </row>
    <row r="815" spans="1:14">
      <c r="A815" t="s">
        <v>944</v>
      </c>
      <c r="B815" t="s">
        <v>256</v>
      </c>
      <c r="C815" t="s">
        <v>45</v>
      </c>
      <c r="D815" t="s">
        <v>44</v>
      </c>
      <c r="E815" s="1">
        <v>46142</v>
      </c>
      <c r="F815">
        <v>187</v>
      </c>
      <c r="G815" t="s">
        <v>31</v>
      </c>
      <c r="H815">
        <v>250</v>
      </c>
      <c r="I815">
        <v>225</v>
      </c>
      <c r="J815">
        <v>1431362.12</v>
      </c>
      <c r="K815">
        <v>237613.61</v>
      </c>
      <c r="L815">
        <f t="shared" si="36"/>
        <v>1193748.5100000002</v>
      </c>
      <c r="M815" t="str">
        <f t="shared" si="37"/>
        <v>2026-04</v>
      </c>
      <c r="N815">
        <f t="shared" si="38"/>
        <v>0.9</v>
      </c>
    </row>
    <row r="816" spans="1:14">
      <c r="A816" t="s">
        <v>945</v>
      </c>
      <c r="B816" t="s">
        <v>81</v>
      </c>
      <c r="C816" t="s">
        <v>34</v>
      </c>
      <c r="D816" t="s">
        <v>69</v>
      </c>
      <c r="E816" s="1">
        <v>46070</v>
      </c>
      <c r="F816">
        <v>307</v>
      </c>
      <c r="G816" t="s">
        <v>41</v>
      </c>
      <c r="H816">
        <v>250</v>
      </c>
      <c r="I816">
        <v>213</v>
      </c>
      <c r="J816">
        <v>842941</v>
      </c>
      <c r="K816">
        <v>368321.65</v>
      </c>
      <c r="L816">
        <f t="shared" si="36"/>
        <v>474619.35</v>
      </c>
      <c r="M816" t="str">
        <f t="shared" si="37"/>
        <v>2026-02</v>
      </c>
      <c r="N816">
        <f t="shared" si="38"/>
        <v>0.85199999999999998</v>
      </c>
    </row>
    <row r="817" spans="1:14">
      <c r="A817" t="s">
        <v>946</v>
      </c>
      <c r="B817" t="s">
        <v>165</v>
      </c>
      <c r="C817" t="s">
        <v>34</v>
      </c>
      <c r="D817" t="s">
        <v>29</v>
      </c>
      <c r="E817" s="1">
        <v>46026</v>
      </c>
      <c r="F817">
        <v>103</v>
      </c>
      <c r="G817" t="s">
        <v>35</v>
      </c>
      <c r="H817">
        <v>180</v>
      </c>
      <c r="I817">
        <v>163</v>
      </c>
      <c r="J817">
        <v>1490517.75</v>
      </c>
      <c r="K817">
        <v>181071.49</v>
      </c>
      <c r="L817">
        <f t="shared" si="36"/>
        <v>1309446.26</v>
      </c>
      <c r="M817" t="str">
        <f t="shared" si="37"/>
        <v>2026-01</v>
      </c>
      <c r="N817">
        <f t="shared" si="38"/>
        <v>0.90555555555555556</v>
      </c>
    </row>
    <row r="818" spans="1:14">
      <c r="A818" t="s">
        <v>947</v>
      </c>
      <c r="B818" t="s">
        <v>81</v>
      </c>
      <c r="C818" t="s">
        <v>34</v>
      </c>
      <c r="D818" t="s">
        <v>69</v>
      </c>
      <c r="E818" s="1">
        <v>46252</v>
      </c>
      <c r="F818">
        <v>126</v>
      </c>
      <c r="G818" t="s">
        <v>35</v>
      </c>
      <c r="H818">
        <v>300</v>
      </c>
      <c r="I818">
        <v>277</v>
      </c>
      <c r="J818">
        <v>918699.15</v>
      </c>
      <c r="K818">
        <v>282783.59000000003</v>
      </c>
      <c r="L818">
        <f t="shared" si="36"/>
        <v>635915.56000000006</v>
      </c>
      <c r="M818" t="str">
        <f t="shared" si="37"/>
        <v>2026-08</v>
      </c>
      <c r="N818">
        <f t="shared" si="38"/>
        <v>0.92333333333333334</v>
      </c>
    </row>
    <row r="819" spans="1:14">
      <c r="A819" t="s">
        <v>948</v>
      </c>
      <c r="B819" t="s">
        <v>299</v>
      </c>
      <c r="C819" t="s">
        <v>34</v>
      </c>
      <c r="D819" t="s">
        <v>44</v>
      </c>
      <c r="E819" s="1">
        <v>46285</v>
      </c>
      <c r="F819">
        <v>352</v>
      </c>
      <c r="G819" t="s">
        <v>46</v>
      </c>
      <c r="H819">
        <v>300</v>
      </c>
      <c r="I819">
        <v>188</v>
      </c>
      <c r="J819">
        <v>1816092.8</v>
      </c>
      <c r="K819">
        <v>548792.71</v>
      </c>
      <c r="L819">
        <f t="shared" si="36"/>
        <v>1267300.0900000001</v>
      </c>
      <c r="M819" t="str">
        <f t="shared" si="37"/>
        <v>2026-09</v>
      </c>
      <c r="N819">
        <f t="shared" si="38"/>
        <v>0.62666666666666671</v>
      </c>
    </row>
    <row r="820" spans="1:14">
      <c r="A820" t="s">
        <v>949</v>
      </c>
      <c r="B820" t="s">
        <v>186</v>
      </c>
      <c r="C820" t="s">
        <v>49</v>
      </c>
      <c r="D820" t="s">
        <v>30</v>
      </c>
      <c r="E820" s="1">
        <v>46168</v>
      </c>
      <c r="F820">
        <v>150</v>
      </c>
      <c r="G820" t="s">
        <v>46</v>
      </c>
      <c r="H820">
        <v>300</v>
      </c>
      <c r="I820">
        <v>115</v>
      </c>
      <c r="J820">
        <v>1710076.09</v>
      </c>
      <c r="K820">
        <v>273547.99</v>
      </c>
      <c r="L820">
        <f t="shared" si="36"/>
        <v>1436528.1</v>
      </c>
      <c r="M820" t="str">
        <f t="shared" si="37"/>
        <v>2026-05</v>
      </c>
      <c r="N820">
        <f t="shared" si="38"/>
        <v>0.38333333333333336</v>
      </c>
    </row>
    <row r="821" spans="1:14">
      <c r="A821" t="s">
        <v>950</v>
      </c>
      <c r="B821" t="s">
        <v>122</v>
      </c>
      <c r="C821" t="s">
        <v>29</v>
      </c>
      <c r="D821" t="s">
        <v>45</v>
      </c>
      <c r="E821" s="1">
        <v>46229</v>
      </c>
      <c r="F821">
        <v>362</v>
      </c>
      <c r="G821" t="s">
        <v>35</v>
      </c>
      <c r="H821">
        <v>150</v>
      </c>
      <c r="I821">
        <v>92</v>
      </c>
      <c r="J821">
        <v>861247.58</v>
      </c>
      <c r="K821">
        <v>290909.13</v>
      </c>
      <c r="L821">
        <f t="shared" si="36"/>
        <v>570338.44999999995</v>
      </c>
      <c r="M821" t="str">
        <f t="shared" si="37"/>
        <v>2026-07</v>
      </c>
      <c r="N821">
        <f t="shared" si="38"/>
        <v>0.61333333333333329</v>
      </c>
    </row>
    <row r="822" spans="1:14">
      <c r="A822" t="s">
        <v>951</v>
      </c>
      <c r="B822" t="s">
        <v>299</v>
      </c>
      <c r="C822" t="s">
        <v>34</v>
      </c>
      <c r="D822" t="s">
        <v>44</v>
      </c>
      <c r="E822" s="1">
        <v>46154</v>
      </c>
      <c r="F822">
        <v>502</v>
      </c>
      <c r="G822" t="s">
        <v>41</v>
      </c>
      <c r="H822">
        <v>150</v>
      </c>
      <c r="I822">
        <v>52</v>
      </c>
      <c r="J822">
        <v>192377.46</v>
      </c>
      <c r="K822">
        <v>676845.22</v>
      </c>
      <c r="L822">
        <f t="shared" si="36"/>
        <v>-484467.76</v>
      </c>
      <c r="M822" t="str">
        <f t="shared" si="37"/>
        <v>2026-05</v>
      </c>
      <c r="N822">
        <f t="shared" si="38"/>
        <v>0.34666666666666668</v>
      </c>
    </row>
    <row r="823" spans="1:14">
      <c r="A823" t="s">
        <v>952</v>
      </c>
      <c r="B823" t="s">
        <v>90</v>
      </c>
      <c r="C823" t="s">
        <v>40</v>
      </c>
      <c r="D823" t="s">
        <v>30</v>
      </c>
      <c r="E823" s="1">
        <v>46126</v>
      </c>
      <c r="F823">
        <v>316</v>
      </c>
      <c r="G823" t="s">
        <v>46</v>
      </c>
      <c r="H823">
        <v>300</v>
      </c>
      <c r="I823">
        <v>102</v>
      </c>
      <c r="J823">
        <v>1270657.58</v>
      </c>
      <c r="K823">
        <v>492809.54</v>
      </c>
      <c r="L823">
        <f t="shared" si="36"/>
        <v>777848.04</v>
      </c>
      <c r="M823" t="str">
        <f t="shared" si="37"/>
        <v>2026-04</v>
      </c>
      <c r="N823">
        <f t="shared" si="38"/>
        <v>0.34</v>
      </c>
    </row>
    <row r="824" spans="1:14">
      <c r="A824" t="s">
        <v>953</v>
      </c>
      <c r="B824" t="s">
        <v>68</v>
      </c>
      <c r="C824" t="s">
        <v>69</v>
      </c>
      <c r="D824" t="s">
        <v>45</v>
      </c>
      <c r="E824" s="1">
        <v>46316</v>
      </c>
      <c r="F824">
        <v>595</v>
      </c>
      <c r="G824" t="s">
        <v>35</v>
      </c>
      <c r="H824">
        <v>300</v>
      </c>
      <c r="I824">
        <v>260</v>
      </c>
      <c r="J824">
        <v>3284358.99</v>
      </c>
      <c r="K824">
        <v>784462.12</v>
      </c>
      <c r="L824">
        <f t="shared" si="36"/>
        <v>2499896.87</v>
      </c>
      <c r="M824" t="str">
        <f t="shared" si="37"/>
        <v>2026-10</v>
      </c>
      <c r="N824">
        <f t="shared" si="38"/>
        <v>0.8666666666666667</v>
      </c>
    </row>
    <row r="825" spans="1:14">
      <c r="A825" t="s">
        <v>954</v>
      </c>
      <c r="B825" t="s">
        <v>370</v>
      </c>
      <c r="C825" t="s">
        <v>44</v>
      </c>
      <c r="D825" t="s">
        <v>29</v>
      </c>
      <c r="E825" s="1">
        <v>46065</v>
      </c>
      <c r="F825">
        <v>169</v>
      </c>
      <c r="G825" t="s">
        <v>31</v>
      </c>
      <c r="H825">
        <v>180</v>
      </c>
      <c r="I825">
        <v>149</v>
      </c>
      <c r="J825">
        <v>499703.72</v>
      </c>
      <c r="K825">
        <v>195588.37</v>
      </c>
      <c r="L825">
        <f t="shared" si="36"/>
        <v>304115.34999999998</v>
      </c>
      <c r="M825" t="str">
        <f t="shared" si="37"/>
        <v>2026-02</v>
      </c>
      <c r="N825">
        <f t="shared" si="38"/>
        <v>0.82777777777777772</v>
      </c>
    </row>
    <row r="826" spans="1:14">
      <c r="A826" t="s">
        <v>955</v>
      </c>
      <c r="B826" t="s">
        <v>62</v>
      </c>
      <c r="C826" t="s">
        <v>52</v>
      </c>
      <c r="D826" t="s">
        <v>40</v>
      </c>
      <c r="E826" s="1">
        <v>46160</v>
      </c>
      <c r="F826">
        <v>272</v>
      </c>
      <c r="G826" t="s">
        <v>41</v>
      </c>
      <c r="H826">
        <v>180</v>
      </c>
      <c r="I826">
        <v>150</v>
      </c>
      <c r="J826">
        <v>1745450.23</v>
      </c>
      <c r="K826">
        <v>243943.36</v>
      </c>
      <c r="L826">
        <f t="shared" si="36"/>
        <v>1501506.87</v>
      </c>
      <c r="M826" t="str">
        <f t="shared" si="37"/>
        <v>2026-05</v>
      </c>
      <c r="N826">
        <f t="shared" si="38"/>
        <v>0.83333333333333337</v>
      </c>
    </row>
    <row r="827" spans="1:14">
      <c r="A827" t="s">
        <v>956</v>
      </c>
      <c r="B827" t="s">
        <v>124</v>
      </c>
      <c r="C827" t="s">
        <v>55</v>
      </c>
      <c r="D827" t="s">
        <v>49</v>
      </c>
      <c r="E827" s="1">
        <v>46110</v>
      </c>
      <c r="F827">
        <v>235</v>
      </c>
      <c r="G827" t="s">
        <v>31</v>
      </c>
      <c r="H827">
        <v>180</v>
      </c>
      <c r="I827">
        <v>52</v>
      </c>
      <c r="J827">
        <v>339458.11</v>
      </c>
      <c r="K827">
        <v>299602.42</v>
      </c>
      <c r="L827">
        <f t="shared" si="36"/>
        <v>39855.69</v>
      </c>
      <c r="M827" t="str">
        <f t="shared" si="37"/>
        <v>2026-03</v>
      </c>
      <c r="N827">
        <f t="shared" si="38"/>
        <v>0.28888888888888886</v>
      </c>
    </row>
    <row r="828" spans="1:14">
      <c r="A828" t="s">
        <v>957</v>
      </c>
      <c r="B828" t="s">
        <v>302</v>
      </c>
      <c r="C828" t="s">
        <v>30</v>
      </c>
      <c r="D828" t="s">
        <v>34</v>
      </c>
      <c r="E828" s="1">
        <v>46252</v>
      </c>
      <c r="F828">
        <v>519</v>
      </c>
      <c r="G828" t="s">
        <v>41</v>
      </c>
      <c r="H828">
        <v>180</v>
      </c>
      <c r="I828">
        <v>69</v>
      </c>
      <c r="J828">
        <v>831260.4</v>
      </c>
      <c r="K828">
        <v>389606.23</v>
      </c>
      <c r="L828">
        <f t="shared" si="36"/>
        <v>441654.17000000004</v>
      </c>
      <c r="M828" t="str">
        <f t="shared" si="37"/>
        <v>2026-08</v>
      </c>
      <c r="N828">
        <f t="shared" si="38"/>
        <v>0.38333333333333336</v>
      </c>
    </row>
    <row r="829" spans="1:14">
      <c r="A829" t="s">
        <v>958</v>
      </c>
      <c r="B829" t="s">
        <v>407</v>
      </c>
      <c r="C829" t="s">
        <v>49</v>
      </c>
      <c r="D829" t="s">
        <v>29</v>
      </c>
      <c r="E829" s="1">
        <v>46054</v>
      </c>
      <c r="F829">
        <v>364</v>
      </c>
      <c r="G829" t="s">
        <v>41</v>
      </c>
      <c r="H829">
        <v>180</v>
      </c>
      <c r="I829">
        <v>74</v>
      </c>
      <c r="J829">
        <v>912141.09</v>
      </c>
      <c r="K829">
        <v>344721.27</v>
      </c>
      <c r="L829">
        <f t="shared" si="36"/>
        <v>567419.81999999995</v>
      </c>
      <c r="M829" t="str">
        <f t="shared" si="37"/>
        <v>2026-02</v>
      </c>
      <c r="N829">
        <f t="shared" si="38"/>
        <v>0.41111111111111109</v>
      </c>
    </row>
    <row r="830" spans="1:14">
      <c r="A830" t="s">
        <v>959</v>
      </c>
      <c r="B830" t="s">
        <v>205</v>
      </c>
      <c r="C830" t="s">
        <v>52</v>
      </c>
      <c r="D830" t="s">
        <v>44</v>
      </c>
      <c r="E830" s="1">
        <v>46207</v>
      </c>
      <c r="F830">
        <v>427</v>
      </c>
      <c r="G830" t="s">
        <v>41</v>
      </c>
      <c r="H830">
        <v>180</v>
      </c>
      <c r="I830">
        <v>86</v>
      </c>
      <c r="J830">
        <v>976723.8</v>
      </c>
      <c r="K830">
        <v>352707.08</v>
      </c>
      <c r="L830">
        <f t="shared" si="36"/>
        <v>624016.72</v>
      </c>
      <c r="M830" t="str">
        <f t="shared" si="37"/>
        <v>2026-07</v>
      </c>
      <c r="N830">
        <f t="shared" si="38"/>
        <v>0.4777777777777778</v>
      </c>
    </row>
    <row r="831" spans="1:14">
      <c r="A831" t="s">
        <v>960</v>
      </c>
      <c r="B831" t="s">
        <v>240</v>
      </c>
      <c r="C831" t="s">
        <v>55</v>
      </c>
      <c r="D831" t="s">
        <v>40</v>
      </c>
      <c r="E831" s="1">
        <v>46127</v>
      </c>
      <c r="F831">
        <v>219</v>
      </c>
      <c r="G831" t="s">
        <v>46</v>
      </c>
      <c r="H831">
        <v>180</v>
      </c>
      <c r="I831">
        <v>63</v>
      </c>
      <c r="J831">
        <v>429935.13</v>
      </c>
      <c r="K831">
        <v>268261.57</v>
      </c>
      <c r="L831">
        <f t="shared" si="36"/>
        <v>161673.56</v>
      </c>
      <c r="M831" t="str">
        <f t="shared" si="37"/>
        <v>2026-04</v>
      </c>
      <c r="N831">
        <f t="shared" si="38"/>
        <v>0.35</v>
      </c>
    </row>
    <row r="832" spans="1:14">
      <c r="A832" t="s">
        <v>961</v>
      </c>
      <c r="B832" t="s">
        <v>256</v>
      </c>
      <c r="C832" t="s">
        <v>45</v>
      </c>
      <c r="D832" t="s">
        <v>44</v>
      </c>
      <c r="E832" s="1">
        <v>46053</v>
      </c>
      <c r="F832">
        <v>80</v>
      </c>
      <c r="G832" t="s">
        <v>31</v>
      </c>
      <c r="H832">
        <v>150</v>
      </c>
      <c r="I832">
        <v>82</v>
      </c>
      <c r="J832">
        <v>582244.49</v>
      </c>
      <c r="K832">
        <v>153287.17000000001</v>
      </c>
      <c r="L832">
        <f t="shared" si="36"/>
        <v>428957.31999999995</v>
      </c>
      <c r="M832" t="str">
        <f t="shared" si="37"/>
        <v>2026-01</v>
      </c>
      <c r="N832">
        <f t="shared" si="38"/>
        <v>0.54666666666666663</v>
      </c>
    </row>
    <row r="833" spans="1:14">
      <c r="A833" t="s">
        <v>962</v>
      </c>
      <c r="B833" t="s">
        <v>137</v>
      </c>
      <c r="C833" t="s">
        <v>69</v>
      </c>
      <c r="D833" t="s">
        <v>34</v>
      </c>
      <c r="E833" s="1">
        <v>46052</v>
      </c>
      <c r="F833">
        <v>360</v>
      </c>
      <c r="G833" t="s">
        <v>35</v>
      </c>
      <c r="H833">
        <v>150</v>
      </c>
      <c r="I833">
        <v>72</v>
      </c>
      <c r="J833">
        <v>489754.03</v>
      </c>
      <c r="K833">
        <v>437723.47</v>
      </c>
      <c r="L833">
        <f t="shared" si="36"/>
        <v>52030.560000000056</v>
      </c>
      <c r="M833" t="str">
        <f t="shared" si="37"/>
        <v>2026-01</v>
      </c>
      <c r="N833">
        <f t="shared" si="38"/>
        <v>0.48</v>
      </c>
    </row>
    <row r="834" spans="1:14">
      <c r="A834" t="s">
        <v>963</v>
      </c>
      <c r="B834" t="s">
        <v>167</v>
      </c>
      <c r="C834" t="s">
        <v>30</v>
      </c>
      <c r="D834" t="s">
        <v>69</v>
      </c>
      <c r="E834" s="1">
        <v>46087</v>
      </c>
      <c r="F834">
        <v>324</v>
      </c>
      <c r="G834" t="s">
        <v>46</v>
      </c>
      <c r="H834">
        <v>150</v>
      </c>
      <c r="I834">
        <v>96</v>
      </c>
      <c r="J834">
        <v>1060986.77</v>
      </c>
      <c r="K834">
        <v>273332.55</v>
      </c>
      <c r="L834">
        <f t="shared" si="36"/>
        <v>787654.22</v>
      </c>
      <c r="M834" t="str">
        <f t="shared" si="37"/>
        <v>2026-03</v>
      </c>
      <c r="N834">
        <f t="shared" si="38"/>
        <v>0.64</v>
      </c>
    </row>
    <row r="835" spans="1:14">
      <c r="A835" t="s">
        <v>964</v>
      </c>
      <c r="B835" t="s">
        <v>96</v>
      </c>
      <c r="C835" t="s">
        <v>69</v>
      </c>
      <c r="D835" t="s">
        <v>30</v>
      </c>
      <c r="E835" s="1">
        <v>46298</v>
      </c>
      <c r="F835">
        <v>298</v>
      </c>
      <c r="G835" t="s">
        <v>41</v>
      </c>
      <c r="H835">
        <v>150</v>
      </c>
      <c r="I835">
        <v>55</v>
      </c>
      <c r="J835">
        <v>714113.44</v>
      </c>
      <c r="K835">
        <v>343287.56</v>
      </c>
      <c r="L835">
        <f t="shared" ref="L835:L898" si="39">J835-K835</f>
        <v>370825.87999999995</v>
      </c>
      <c r="M835" t="str">
        <f t="shared" ref="M835:M898" si="40">TEXT(E835,"YYYY-MM")</f>
        <v>2026-10</v>
      </c>
      <c r="N835">
        <f t="shared" ref="N835:N898" si="41">I835/H835</f>
        <v>0.36666666666666664</v>
      </c>
    </row>
    <row r="836" spans="1:14">
      <c r="A836" t="s">
        <v>965</v>
      </c>
      <c r="B836" t="s">
        <v>39</v>
      </c>
      <c r="C836" t="s">
        <v>29</v>
      </c>
      <c r="D836" t="s">
        <v>40</v>
      </c>
      <c r="E836" s="1">
        <v>46104</v>
      </c>
      <c r="F836">
        <v>71</v>
      </c>
      <c r="G836" t="s">
        <v>41</v>
      </c>
      <c r="H836">
        <v>150</v>
      </c>
      <c r="I836">
        <v>87</v>
      </c>
      <c r="J836">
        <v>448340.83</v>
      </c>
      <c r="K836">
        <v>111763.41</v>
      </c>
      <c r="L836">
        <f t="shared" si="39"/>
        <v>336577.42000000004</v>
      </c>
      <c r="M836" t="str">
        <f t="shared" si="40"/>
        <v>2026-03</v>
      </c>
      <c r="N836">
        <f t="shared" si="41"/>
        <v>0.57999999999999996</v>
      </c>
    </row>
    <row r="837" spans="1:14">
      <c r="A837" t="s">
        <v>966</v>
      </c>
      <c r="B837" t="s">
        <v>28</v>
      </c>
      <c r="C837" t="s">
        <v>29</v>
      </c>
      <c r="D837" t="s">
        <v>30</v>
      </c>
      <c r="E837" s="1">
        <v>46231</v>
      </c>
      <c r="F837">
        <v>268</v>
      </c>
      <c r="G837" t="s">
        <v>41</v>
      </c>
      <c r="H837">
        <v>250</v>
      </c>
      <c r="I837">
        <v>133</v>
      </c>
      <c r="J837">
        <v>1148218.04</v>
      </c>
      <c r="K837">
        <v>394132.58</v>
      </c>
      <c r="L837">
        <f t="shared" si="39"/>
        <v>754085.46</v>
      </c>
      <c r="M837" t="str">
        <f t="shared" si="40"/>
        <v>2026-07</v>
      </c>
      <c r="N837">
        <f t="shared" si="41"/>
        <v>0.53200000000000003</v>
      </c>
    </row>
    <row r="838" spans="1:14">
      <c r="A838" t="s">
        <v>967</v>
      </c>
      <c r="B838" t="s">
        <v>118</v>
      </c>
      <c r="C838" t="s">
        <v>40</v>
      </c>
      <c r="D838" t="s">
        <v>69</v>
      </c>
      <c r="E838" s="1">
        <v>46113</v>
      </c>
      <c r="F838">
        <v>112</v>
      </c>
      <c r="G838" t="s">
        <v>46</v>
      </c>
      <c r="H838">
        <v>300</v>
      </c>
      <c r="I838">
        <v>126</v>
      </c>
      <c r="J838">
        <v>1724926.09</v>
      </c>
      <c r="K838">
        <v>213405.85</v>
      </c>
      <c r="L838">
        <f t="shared" si="39"/>
        <v>1511520.24</v>
      </c>
      <c r="M838" t="str">
        <f t="shared" si="40"/>
        <v>2026-04</v>
      </c>
      <c r="N838">
        <f t="shared" si="41"/>
        <v>0.42</v>
      </c>
    </row>
    <row r="839" spans="1:14">
      <c r="A839" t="s">
        <v>968</v>
      </c>
      <c r="B839" t="s">
        <v>120</v>
      </c>
      <c r="C839" t="s">
        <v>52</v>
      </c>
      <c r="D839" t="s">
        <v>34</v>
      </c>
      <c r="E839" s="1">
        <v>46097</v>
      </c>
      <c r="F839">
        <v>348</v>
      </c>
      <c r="G839" t="s">
        <v>31</v>
      </c>
      <c r="H839">
        <v>250</v>
      </c>
      <c r="I839">
        <v>122</v>
      </c>
      <c r="J839">
        <v>1347909.3</v>
      </c>
      <c r="K839">
        <v>445775.31</v>
      </c>
      <c r="L839">
        <f t="shared" si="39"/>
        <v>902133.99</v>
      </c>
      <c r="M839" t="str">
        <f t="shared" si="40"/>
        <v>2026-03</v>
      </c>
      <c r="N839">
        <f t="shared" si="41"/>
        <v>0.48799999999999999</v>
      </c>
    </row>
    <row r="840" spans="1:14">
      <c r="A840" t="s">
        <v>969</v>
      </c>
      <c r="B840" t="s">
        <v>370</v>
      </c>
      <c r="C840" t="s">
        <v>44</v>
      </c>
      <c r="D840" t="s">
        <v>29</v>
      </c>
      <c r="E840" s="1">
        <v>46213</v>
      </c>
      <c r="F840">
        <v>448</v>
      </c>
      <c r="G840" t="s">
        <v>31</v>
      </c>
      <c r="H840">
        <v>250</v>
      </c>
      <c r="I840">
        <v>135</v>
      </c>
      <c r="J840">
        <v>1135469.8899999999</v>
      </c>
      <c r="K840">
        <v>608316.94999999995</v>
      </c>
      <c r="L840">
        <f t="shared" si="39"/>
        <v>527152.93999999994</v>
      </c>
      <c r="M840" t="str">
        <f t="shared" si="40"/>
        <v>2026-07</v>
      </c>
      <c r="N840">
        <f t="shared" si="41"/>
        <v>0.54</v>
      </c>
    </row>
    <row r="841" spans="1:14">
      <c r="A841" t="s">
        <v>970</v>
      </c>
      <c r="B841" t="s">
        <v>122</v>
      </c>
      <c r="C841" t="s">
        <v>29</v>
      </c>
      <c r="D841" t="s">
        <v>45</v>
      </c>
      <c r="E841" s="1">
        <v>46027</v>
      </c>
      <c r="F841">
        <v>152</v>
      </c>
      <c r="G841" t="s">
        <v>41</v>
      </c>
      <c r="H841">
        <v>180</v>
      </c>
      <c r="I841">
        <v>143</v>
      </c>
      <c r="J841">
        <v>1299258.8999999999</v>
      </c>
      <c r="K841">
        <v>249661.56</v>
      </c>
      <c r="L841">
        <f t="shared" si="39"/>
        <v>1049597.3399999999</v>
      </c>
      <c r="M841" t="str">
        <f t="shared" si="40"/>
        <v>2026-01</v>
      </c>
      <c r="N841">
        <f t="shared" si="41"/>
        <v>0.7944444444444444</v>
      </c>
    </row>
    <row r="842" spans="1:14">
      <c r="A842" t="s">
        <v>971</v>
      </c>
      <c r="B842" t="s">
        <v>530</v>
      </c>
      <c r="C842" t="s">
        <v>34</v>
      </c>
      <c r="D842" t="s">
        <v>45</v>
      </c>
      <c r="E842" s="1">
        <v>46258</v>
      </c>
      <c r="F842">
        <v>533</v>
      </c>
      <c r="G842" t="s">
        <v>41</v>
      </c>
      <c r="H842">
        <v>180</v>
      </c>
      <c r="I842">
        <v>149</v>
      </c>
      <c r="J842">
        <v>1334162.56</v>
      </c>
      <c r="K842">
        <v>664204.21</v>
      </c>
      <c r="L842">
        <f t="shared" si="39"/>
        <v>669958.35000000009</v>
      </c>
      <c r="M842" t="str">
        <f t="shared" si="40"/>
        <v>2026-08</v>
      </c>
      <c r="N842">
        <f t="shared" si="41"/>
        <v>0.82777777777777772</v>
      </c>
    </row>
    <row r="843" spans="1:14">
      <c r="A843" t="s">
        <v>972</v>
      </c>
      <c r="B843" t="s">
        <v>124</v>
      </c>
      <c r="C843" t="s">
        <v>55</v>
      </c>
      <c r="D843" t="s">
        <v>49</v>
      </c>
      <c r="E843" s="1">
        <v>46168</v>
      </c>
      <c r="F843">
        <v>268</v>
      </c>
      <c r="G843" t="s">
        <v>46</v>
      </c>
      <c r="H843">
        <v>180</v>
      </c>
      <c r="I843">
        <v>111</v>
      </c>
      <c r="J843">
        <v>698316.78</v>
      </c>
      <c r="K843">
        <v>326732.01</v>
      </c>
      <c r="L843">
        <f t="shared" si="39"/>
        <v>371584.77</v>
      </c>
      <c r="M843" t="str">
        <f t="shared" si="40"/>
        <v>2026-05</v>
      </c>
      <c r="N843">
        <f t="shared" si="41"/>
        <v>0.6166666666666667</v>
      </c>
    </row>
    <row r="844" spans="1:14">
      <c r="A844" t="s">
        <v>973</v>
      </c>
      <c r="B844" t="s">
        <v>190</v>
      </c>
      <c r="C844" t="s">
        <v>44</v>
      </c>
      <c r="D844" t="s">
        <v>52</v>
      </c>
      <c r="E844" s="1">
        <v>46090</v>
      </c>
      <c r="F844">
        <v>467</v>
      </c>
      <c r="G844" t="s">
        <v>35</v>
      </c>
      <c r="H844">
        <v>150</v>
      </c>
      <c r="I844">
        <v>123</v>
      </c>
      <c r="J844">
        <v>1027218.22</v>
      </c>
      <c r="K844">
        <v>381941.58</v>
      </c>
      <c r="L844">
        <f t="shared" si="39"/>
        <v>645276.6399999999</v>
      </c>
      <c r="M844" t="str">
        <f t="shared" si="40"/>
        <v>2026-03</v>
      </c>
      <c r="N844">
        <f t="shared" si="41"/>
        <v>0.82</v>
      </c>
    </row>
    <row r="845" spans="1:14">
      <c r="A845" t="s">
        <v>974</v>
      </c>
      <c r="B845" t="s">
        <v>230</v>
      </c>
      <c r="C845" t="s">
        <v>49</v>
      </c>
      <c r="D845" t="s">
        <v>34</v>
      </c>
      <c r="E845" s="1">
        <v>46129</v>
      </c>
      <c r="F845">
        <v>135</v>
      </c>
      <c r="G845" t="s">
        <v>41</v>
      </c>
      <c r="H845">
        <v>300</v>
      </c>
      <c r="I845">
        <v>88</v>
      </c>
      <c r="J845">
        <v>1096065.6100000001</v>
      </c>
      <c r="K845">
        <v>239031.18</v>
      </c>
      <c r="L845">
        <f t="shared" si="39"/>
        <v>857034.43000000017</v>
      </c>
      <c r="M845" t="str">
        <f t="shared" si="40"/>
        <v>2026-04</v>
      </c>
      <c r="N845">
        <f t="shared" si="41"/>
        <v>0.29333333333333333</v>
      </c>
    </row>
    <row r="846" spans="1:14">
      <c r="A846" t="s">
        <v>975</v>
      </c>
      <c r="B846" t="s">
        <v>478</v>
      </c>
      <c r="C846" t="s">
        <v>40</v>
      </c>
      <c r="D846" t="s">
        <v>44</v>
      </c>
      <c r="E846" s="1">
        <v>46030</v>
      </c>
      <c r="F846">
        <v>428</v>
      </c>
      <c r="G846" t="s">
        <v>41</v>
      </c>
      <c r="H846">
        <v>300</v>
      </c>
      <c r="I846">
        <v>294</v>
      </c>
      <c r="J846">
        <v>4069222.56</v>
      </c>
      <c r="K846">
        <v>395269.69</v>
      </c>
      <c r="L846">
        <f t="shared" si="39"/>
        <v>3673952.87</v>
      </c>
      <c r="M846" t="str">
        <f t="shared" si="40"/>
        <v>2026-01</v>
      </c>
      <c r="N846">
        <f t="shared" si="41"/>
        <v>0.98</v>
      </c>
    </row>
    <row r="847" spans="1:14">
      <c r="A847" t="s">
        <v>976</v>
      </c>
      <c r="B847" t="s">
        <v>66</v>
      </c>
      <c r="C847" t="s">
        <v>49</v>
      </c>
      <c r="D847" t="s">
        <v>45</v>
      </c>
      <c r="E847" s="1">
        <v>46299</v>
      </c>
      <c r="F847">
        <v>490</v>
      </c>
      <c r="G847" t="s">
        <v>31</v>
      </c>
      <c r="H847">
        <v>300</v>
      </c>
      <c r="I847">
        <v>170</v>
      </c>
      <c r="J847">
        <v>2022870.16</v>
      </c>
      <c r="K847">
        <v>527550.06999999995</v>
      </c>
      <c r="L847">
        <f t="shared" si="39"/>
        <v>1495320.0899999999</v>
      </c>
      <c r="M847" t="str">
        <f t="shared" si="40"/>
        <v>2026-10</v>
      </c>
      <c r="N847">
        <f t="shared" si="41"/>
        <v>0.56666666666666665</v>
      </c>
    </row>
    <row r="848" spans="1:14">
      <c r="A848" t="s">
        <v>977</v>
      </c>
      <c r="B848" t="s">
        <v>75</v>
      </c>
      <c r="C848" t="s">
        <v>55</v>
      </c>
      <c r="D848" t="s">
        <v>30</v>
      </c>
      <c r="E848" s="1">
        <v>46297</v>
      </c>
      <c r="F848">
        <v>123</v>
      </c>
      <c r="G848" t="s">
        <v>41</v>
      </c>
      <c r="H848">
        <v>180</v>
      </c>
      <c r="I848">
        <v>115</v>
      </c>
      <c r="J848">
        <v>1262434.71</v>
      </c>
      <c r="K848">
        <v>176140.17</v>
      </c>
      <c r="L848">
        <f t="shared" si="39"/>
        <v>1086294.54</v>
      </c>
      <c r="M848" t="str">
        <f t="shared" si="40"/>
        <v>2026-10</v>
      </c>
      <c r="N848">
        <f t="shared" si="41"/>
        <v>0.63888888888888884</v>
      </c>
    </row>
    <row r="849" spans="1:14">
      <c r="A849" t="s">
        <v>978</v>
      </c>
      <c r="B849" t="s">
        <v>192</v>
      </c>
      <c r="C849" t="s">
        <v>49</v>
      </c>
      <c r="D849" t="s">
        <v>44</v>
      </c>
      <c r="E849" s="1">
        <v>46302</v>
      </c>
      <c r="F849">
        <v>403</v>
      </c>
      <c r="G849" t="s">
        <v>41</v>
      </c>
      <c r="H849">
        <v>300</v>
      </c>
      <c r="I849">
        <v>251</v>
      </c>
      <c r="J849">
        <v>1034525.43</v>
      </c>
      <c r="K849">
        <v>494764.53</v>
      </c>
      <c r="L849">
        <f t="shared" si="39"/>
        <v>539760.9</v>
      </c>
      <c r="M849" t="str">
        <f t="shared" si="40"/>
        <v>2026-10</v>
      </c>
      <c r="N849">
        <f t="shared" si="41"/>
        <v>0.83666666666666667</v>
      </c>
    </row>
    <row r="850" spans="1:14">
      <c r="A850" t="s">
        <v>979</v>
      </c>
      <c r="B850" t="s">
        <v>364</v>
      </c>
      <c r="C850" t="s">
        <v>69</v>
      </c>
      <c r="D850" t="s">
        <v>49</v>
      </c>
      <c r="E850" s="1">
        <v>46301</v>
      </c>
      <c r="F850">
        <v>412</v>
      </c>
      <c r="G850" t="s">
        <v>35</v>
      </c>
      <c r="H850">
        <v>300</v>
      </c>
      <c r="I850">
        <v>287</v>
      </c>
      <c r="J850">
        <v>2509242.37</v>
      </c>
      <c r="K850">
        <v>557622.23</v>
      </c>
      <c r="L850">
        <f t="shared" si="39"/>
        <v>1951620.1400000001</v>
      </c>
      <c r="M850" t="str">
        <f t="shared" si="40"/>
        <v>2026-10</v>
      </c>
      <c r="N850">
        <f t="shared" si="41"/>
        <v>0.95666666666666667</v>
      </c>
    </row>
    <row r="851" spans="1:14">
      <c r="A851" t="s">
        <v>980</v>
      </c>
      <c r="B851" t="s">
        <v>184</v>
      </c>
      <c r="C851" t="s">
        <v>29</v>
      </c>
      <c r="D851" t="s">
        <v>44</v>
      </c>
      <c r="E851" s="1">
        <v>46095</v>
      </c>
      <c r="F851">
        <v>95</v>
      </c>
      <c r="G851" t="s">
        <v>31</v>
      </c>
      <c r="H851">
        <v>250</v>
      </c>
      <c r="I851">
        <v>219</v>
      </c>
      <c r="J851">
        <v>781876.67</v>
      </c>
      <c r="K851">
        <v>187083.14</v>
      </c>
      <c r="L851">
        <f t="shared" si="39"/>
        <v>594793.53</v>
      </c>
      <c r="M851" t="str">
        <f t="shared" si="40"/>
        <v>2026-03</v>
      </c>
      <c r="N851">
        <f t="shared" si="41"/>
        <v>0.876</v>
      </c>
    </row>
    <row r="852" spans="1:14">
      <c r="A852" t="s">
        <v>981</v>
      </c>
      <c r="B852" t="s">
        <v>186</v>
      </c>
      <c r="C852" t="s">
        <v>49</v>
      </c>
      <c r="D852" t="s">
        <v>30</v>
      </c>
      <c r="E852" s="1">
        <v>46043</v>
      </c>
      <c r="F852">
        <v>287</v>
      </c>
      <c r="G852" t="s">
        <v>35</v>
      </c>
      <c r="H852">
        <v>180</v>
      </c>
      <c r="I852">
        <v>157</v>
      </c>
      <c r="J852">
        <v>600526.79</v>
      </c>
      <c r="K852">
        <v>335435.46999999997</v>
      </c>
      <c r="L852">
        <f t="shared" si="39"/>
        <v>265091.32000000007</v>
      </c>
      <c r="M852" t="str">
        <f t="shared" si="40"/>
        <v>2026-01</v>
      </c>
      <c r="N852">
        <f t="shared" si="41"/>
        <v>0.87222222222222223</v>
      </c>
    </row>
    <row r="853" spans="1:14">
      <c r="A853" t="s">
        <v>982</v>
      </c>
      <c r="B853" t="s">
        <v>120</v>
      </c>
      <c r="C853" t="s">
        <v>52</v>
      </c>
      <c r="D853" t="s">
        <v>34</v>
      </c>
      <c r="E853" s="1">
        <v>46246</v>
      </c>
      <c r="F853">
        <v>234</v>
      </c>
      <c r="G853" t="s">
        <v>31</v>
      </c>
      <c r="H853">
        <v>150</v>
      </c>
      <c r="I853">
        <v>139</v>
      </c>
      <c r="J853">
        <v>875350.16</v>
      </c>
      <c r="K853">
        <v>209919.71</v>
      </c>
      <c r="L853">
        <f t="shared" si="39"/>
        <v>665430.45000000007</v>
      </c>
      <c r="M853" t="str">
        <f t="shared" si="40"/>
        <v>2026-08</v>
      </c>
      <c r="N853">
        <f t="shared" si="41"/>
        <v>0.92666666666666664</v>
      </c>
    </row>
    <row r="854" spans="1:14">
      <c r="A854" t="s">
        <v>983</v>
      </c>
      <c r="B854" t="s">
        <v>478</v>
      </c>
      <c r="C854" t="s">
        <v>40</v>
      </c>
      <c r="D854" t="s">
        <v>44</v>
      </c>
      <c r="E854" s="1">
        <v>46279</v>
      </c>
      <c r="F854">
        <v>554</v>
      </c>
      <c r="G854" t="s">
        <v>41</v>
      </c>
      <c r="H854">
        <v>250</v>
      </c>
      <c r="I854">
        <v>166</v>
      </c>
      <c r="J854">
        <v>1506688.52</v>
      </c>
      <c r="K854">
        <v>662559.72</v>
      </c>
      <c r="L854">
        <f t="shared" si="39"/>
        <v>844128.8</v>
      </c>
      <c r="M854" t="str">
        <f t="shared" si="40"/>
        <v>2026-09</v>
      </c>
      <c r="N854">
        <f t="shared" si="41"/>
        <v>0.66400000000000003</v>
      </c>
    </row>
    <row r="855" spans="1:14">
      <c r="A855" t="s">
        <v>984</v>
      </c>
      <c r="B855" t="s">
        <v>230</v>
      </c>
      <c r="C855" t="s">
        <v>49</v>
      </c>
      <c r="D855" t="s">
        <v>34</v>
      </c>
      <c r="E855" s="1">
        <v>46252</v>
      </c>
      <c r="F855">
        <v>237</v>
      </c>
      <c r="G855" t="s">
        <v>41</v>
      </c>
      <c r="H855">
        <v>180</v>
      </c>
      <c r="I855">
        <v>134</v>
      </c>
      <c r="J855">
        <v>1582103.76</v>
      </c>
      <c r="K855">
        <v>220707.14</v>
      </c>
      <c r="L855">
        <f t="shared" si="39"/>
        <v>1361396.62</v>
      </c>
      <c r="M855" t="str">
        <f t="shared" si="40"/>
        <v>2026-08</v>
      </c>
      <c r="N855">
        <f t="shared" si="41"/>
        <v>0.74444444444444446</v>
      </c>
    </row>
    <row r="856" spans="1:14">
      <c r="A856" t="s">
        <v>985</v>
      </c>
      <c r="B856" t="s">
        <v>220</v>
      </c>
      <c r="C856" t="s">
        <v>34</v>
      </c>
      <c r="D856" t="s">
        <v>49</v>
      </c>
      <c r="E856" s="1">
        <v>46284</v>
      </c>
      <c r="F856">
        <v>203</v>
      </c>
      <c r="G856" t="s">
        <v>35</v>
      </c>
      <c r="H856">
        <v>300</v>
      </c>
      <c r="I856">
        <v>61</v>
      </c>
      <c r="J856">
        <v>379382.57</v>
      </c>
      <c r="K856">
        <v>371151.64</v>
      </c>
      <c r="L856">
        <f t="shared" si="39"/>
        <v>8230.929999999993</v>
      </c>
      <c r="M856" t="str">
        <f t="shared" si="40"/>
        <v>2026-09</v>
      </c>
      <c r="N856">
        <f t="shared" si="41"/>
        <v>0.20333333333333334</v>
      </c>
    </row>
    <row r="857" spans="1:14">
      <c r="A857" t="s">
        <v>986</v>
      </c>
      <c r="B857" t="s">
        <v>86</v>
      </c>
      <c r="C857" t="s">
        <v>45</v>
      </c>
      <c r="D857" t="s">
        <v>49</v>
      </c>
      <c r="E857" s="1">
        <v>46148</v>
      </c>
      <c r="F857">
        <v>383</v>
      </c>
      <c r="G857" t="s">
        <v>35</v>
      </c>
      <c r="H857">
        <v>300</v>
      </c>
      <c r="I857">
        <v>272</v>
      </c>
      <c r="J857">
        <v>3048657.15</v>
      </c>
      <c r="K857">
        <v>412645.63</v>
      </c>
      <c r="L857">
        <f t="shared" si="39"/>
        <v>2636011.52</v>
      </c>
      <c r="M857" t="str">
        <f t="shared" si="40"/>
        <v>2026-05</v>
      </c>
      <c r="N857">
        <f t="shared" si="41"/>
        <v>0.90666666666666662</v>
      </c>
    </row>
    <row r="858" spans="1:14">
      <c r="A858" t="s">
        <v>987</v>
      </c>
      <c r="B858" t="s">
        <v>186</v>
      </c>
      <c r="C858" t="s">
        <v>49</v>
      </c>
      <c r="D858" t="s">
        <v>30</v>
      </c>
      <c r="E858" s="1">
        <v>46152</v>
      </c>
      <c r="F858">
        <v>286</v>
      </c>
      <c r="G858" t="s">
        <v>46</v>
      </c>
      <c r="H858">
        <v>300</v>
      </c>
      <c r="I858">
        <v>244</v>
      </c>
      <c r="J858">
        <v>1380983.34</v>
      </c>
      <c r="K858">
        <v>346951.91</v>
      </c>
      <c r="L858">
        <f t="shared" si="39"/>
        <v>1034031.4300000002</v>
      </c>
      <c r="M858" t="str">
        <f t="shared" si="40"/>
        <v>2026-05</v>
      </c>
      <c r="N858">
        <f t="shared" si="41"/>
        <v>0.81333333333333335</v>
      </c>
    </row>
    <row r="859" spans="1:14">
      <c r="A859" t="s">
        <v>988</v>
      </c>
      <c r="B859" t="s">
        <v>135</v>
      </c>
      <c r="C859" t="s">
        <v>30</v>
      </c>
      <c r="D859" t="s">
        <v>49</v>
      </c>
      <c r="E859" s="1">
        <v>46162</v>
      </c>
      <c r="F859">
        <v>178</v>
      </c>
      <c r="G859" t="s">
        <v>41</v>
      </c>
      <c r="H859">
        <v>250</v>
      </c>
      <c r="I859">
        <v>115</v>
      </c>
      <c r="J859">
        <v>835459.46</v>
      </c>
      <c r="K859">
        <v>316233.86</v>
      </c>
      <c r="L859">
        <f t="shared" si="39"/>
        <v>519225.59999999998</v>
      </c>
      <c r="M859" t="str">
        <f t="shared" si="40"/>
        <v>2026-05</v>
      </c>
      <c r="N859">
        <f t="shared" si="41"/>
        <v>0.46</v>
      </c>
    </row>
    <row r="860" spans="1:14">
      <c r="A860" t="s">
        <v>989</v>
      </c>
      <c r="B860" t="s">
        <v>175</v>
      </c>
      <c r="C860" t="s">
        <v>40</v>
      </c>
      <c r="D860" t="s">
        <v>29</v>
      </c>
      <c r="E860" s="1">
        <v>46139</v>
      </c>
      <c r="F860">
        <v>206</v>
      </c>
      <c r="G860" t="s">
        <v>31</v>
      </c>
      <c r="H860">
        <v>250</v>
      </c>
      <c r="I860">
        <v>89</v>
      </c>
      <c r="J860">
        <v>541229.84</v>
      </c>
      <c r="K860">
        <v>233029.74</v>
      </c>
      <c r="L860">
        <f t="shared" si="39"/>
        <v>308200.09999999998</v>
      </c>
      <c r="M860" t="str">
        <f t="shared" si="40"/>
        <v>2026-04</v>
      </c>
      <c r="N860">
        <f t="shared" si="41"/>
        <v>0.35599999999999998</v>
      </c>
    </row>
    <row r="861" spans="1:14">
      <c r="A861" t="s">
        <v>990</v>
      </c>
      <c r="B861" t="s">
        <v>98</v>
      </c>
      <c r="C861" t="s">
        <v>40</v>
      </c>
      <c r="D861" t="s">
        <v>34</v>
      </c>
      <c r="E861" s="1">
        <v>46072</v>
      </c>
      <c r="F861">
        <v>164</v>
      </c>
      <c r="G861" t="s">
        <v>35</v>
      </c>
      <c r="H861">
        <v>150</v>
      </c>
      <c r="I861">
        <v>76</v>
      </c>
      <c r="J861">
        <v>258143.6</v>
      </c>
      <c r="K861">
        <v>157129.89000000001</v>
      </c>
      <c r="L861">
        <f t="shared" si="39"/>
        <v>101013.70999999999</v>
      </c>
      <c r="M861" t="str">
        <f t="shared" si="40"/>
        <v>2026-02</v>
      </c>
      <c r="N861">
        <f t="shared" si="41"/>
        <v>0.50666666666666671</v>
      </c>
    </row>
    <row r="862" spans="1:14">
      <c r="A862" t="s">
        <v>991</v>
      </c>
      <c r="B862" t="s">
        <v>98</v>
      </c>
      <c r="C862" t="s">
        <v>40</v>
      </c>
      <c r="D862" t="s">
        <v>34</v>
      </c>
      <c r="E862" s="1">
        <v>46188</v>
      </c>
      <c r="F862">
        <v>375</v>
      </c>
      <c r="G862" t="s">
        <v>41</v>
      </c>
      <c r="H862">
        <v>300</v>
      </c>
      <c r="I862">
        <v>298</v>
      </c>
      <c r="J862">
        <v>2064927.45</v>
      </c>
      <c r="K862">
        <v>373156.01</v>
      </c>
      <c r="L862">
        <f t="shared" si="39"/>
        <v>1691771.44</v>
      </c>
      <c r="M862" t="str">
        <f t="shared" si="40"/>
        <v>2026-06</v>
      </c>
      <c r="N862">
        <f t="shared" si="41"/>
        <v>0.99333333333333329</v>
      </c>
    </row>
    <row r="863" spans="1:14">
      <c r="A863" t="s">
        <v>992</v>
      </c>
      <c r="B863" t="s">
        <v>169</v>
      </c>
      <c r="C863" t="s">
        <v>34</v>
      </c>
      <c r="D863" t="s">
        <v>40</v>
      </c>
      <c r="E863" s="1">
        <v>46157</v>
      </c>
      <c r="F863">
        <v>293</v>
      </c>
      <c r="G863" t="s">
        <v>41</v>
      </c>
      <c r="H863">
        <v>300</v>
      </c>
      <c r="I863">
        <v>291</v>
      </c>
      <c r="J863">
        <v>2736295.34</v>
      </c>
      <c r="K863">
        <v>319697.99</v>
      </c>
      <c r="L863">
        <f t="shared" si="39"/>
        <v>2416597.3499999996</v>
      </c>
      <c r="M863" t="str">
        <f t="shared" si="40"/>
        <v>2026-05</v>
      </c>
      <c r="N863">
        <f t="shared" si="41"/>
        <v>0.97</v>
      </c>
    </row>
    <row r="864" spans="1:14">
      <c r="A864" t="s">
        <v>993</v>
      </c>
      <c r="B864" t="s">
        <v>190</v>
      </c>
      <c r="C864" t="s">
        <v>44</v>
      </c>
      <c r="D864" t="s">
        <v>52</v>
      </c>
      <c r="E864" s="1">
        <v>46175</v>
      </c>
      <c r="F864">
        <v>149</v>
      </c>
      <c r="G864" t="s">
        <v>35</v>
      </c>
      <c r="H864">
        <v>180</v>
      </c>
      <c r="I864">
        <v>128</v>
      </c>
      <c r="J864">
        <v>1361468.48</v>
      </c>
      <c r="K864">
        <v>242857.79</v>
      </c>
      <c r="L864">
        <f t="shared" si="39"/>
        <v>1118610.69</v>
      </c>
      <c r="M864" t="str">
        <f t="shared" si="40"/>
        <v>2026-06</v>
      </c>
      <c r="N864">
        <f t="shared" si="41"/>
        <v>0.71111111111111114</v>
      </c>
    </row>
    <row r="865" spans="1:14">
      <c r="A865" t="s">
        <v>994</v>
      </c>
      <c r="B865" t="s">
        <v>68</v>
      </c>
      <c r="C865" t="s">
        <v>69</v>
      </c>
      <c r="D865" t="s">
        <v>45</v>
      </c>
      <c r="E865" s="1">
        <v>46262</v>
      </c>
      <c r="F865">
        <v>115</v>
      </c>
      <c r="G865" t="s">
        <v>31</v>
      </c>
      <c r="H865">
        <v>250</v>
      </c>
      <c r="I865">
        <v>77</v>
      </c>
      <c r="J865">
        <v>381211.97</v>
      </c>
      <c r="K865">
        <v>262639.07</v>
      </c>
      <c r="L865">
        <f t="shared" si="39"/>
        <v>118572.89999999997</v>
      </c>
      <c r="M865" t="str">
        <f t="shared" si="40"/>
        <v>2026-08</v>
      </c>
      <c r="N865">
        <f t="shared" si="41"/>
        <v>0.308</v>
      </c>
    </row>
    <row r="866" spans="1:14">
      <c r="A866" t="s">
        <v>995</v>
      </c>
      <c r="B866" t="s">
        <v>122</v>
      </c>
      <c r="C866" t="s">
        <v>29</v>
      </c>
      <c r="D866" t="s">
        <v>45</v>
      </c>
      <c r="E866" s="1">
        <v>46208</v>
      </c>
      <c r="F866">
        <v>233</v>
      </c>
      <c r="G866" t="s">
        <v>35</v>
      </c>
      <c r="H866">
        <v>180</v>
      </c>
      <c r="I866">
        <v>112</v>
      </c>
      <c r="J866">
        <v>491097.41</v>
      </c>
      <c r="K866">
        <v>272850.59999999998</v>
      </c>
      <c r="L866">
        <f t="shared" si="39"/>
        <v>218246.81</v>
      </c>
      <c r="M866" t="str">
        <f t="shared" si="40"/>
        <v>2026-07</v>
      </c>
      <c r="N866">
        <f t="shared" si="41"/>
        <v>0.62222222222222223</v>
      </c>
    </row>
    <row r="867" spans="1:14">
      <c r="A867" t="s">
        <v>996</v>
      </c>
      <c r="B867" t="s">
        <v>144</v>
      </c>
      <c r="C867" t="s">
        <v>49</v>
      </c>
      <c r="D867" t="s">
        <v>55</v>
      </c>
      <c r="E867" s="1">
        <v>46176</v>
      </c>
      <c r="F867">
        <v>130</v>
      </c>
      <c r="G867" t="s">
        <v>46</v>
      </c>
      <c r="H867">
        <v>250</v>
      </c>
      <c r="I867">
        <v>128</v>
      </c>
      <c r="J867">
        <v>1123403.8500000001</v>
      </c>
      <c r="K867">
        <v>197145.97</v>
      </c>
      <c r="L867">
        <f t="shared" si="39"/>
        <v>926257.88000000012</v>
      </c>
      <c r="M867" t="str">
        <f t="shared" si="40"/>
        <v>2026-06</v>
      </c>
      <c r="N867">
        <f t="shared" si="41"/>
        <v>0.51200000000000001</v>
      </c>
    </row>
    <row r="868" spans="1:14">
      <c r="A868" t="s">
        <v>997</v>
      </c>
      <c r="B868" t="s">
        <v>94</v>
      </c>
      <c r="C868" t="s">
        <v>34</v>
      </c>
      <c r="D868" t="s">
        <v>30</v>
      </c>
      <c r="E868" s="1">
        <v>46266</v>
      </c>
      <c r="F868">
        <v>533</v>
      </c>
      <c r="G868" t="s">
        <v>46</v>
      </c>
      <c r="H868">
        <v>250</v>
      </c>
      <c r="I868">
        <v>86</v>
      </c>
      <c r="J868">
        <v>699513.81</v>
      </c>
      <c r="K868">
        <v>465182.13</v>
      </c>
      <c r="L868">
        <f t="shared" si="39"/>
        <v>234331.68000000005</v>
      </c>
      <c r="M868" t="str">
        <f t="shared" si="40"/>
        <v>2026-09</v>
      </c>
      <c r="N868">
        <f t="shared" si="41"/>
        <v>0.34399999999999997</v>
      </c>
    </row>
    <row r="869" spans="1:14">
      <c r="A869" t="s">
        <v>998</v>
      </c>
      <c r="B869" t="s">
        <v>159</v>
      </c>
      <c r="C869" t="s">
        <v>55</v>
      </c>
      <c r="D869" t="s">
        <v>45</v>
      </c>
      <c r="E869" s="1">
        <v>46303</v>
      </c>
      <c r="F869">
        <v>518</v>
      </c>
      <c r="G869" t="s">
        <v>41</v>
      </c>
      <c r="H869">
        <v>300</v>
      </c>
      <c r="I869">
        <v>243</v>
      </c>
      <c r="J869">
        <v>2404459.25</v>
      </c>
      <c r="K869">
        <v>707156.81</v>
      </c>
      <c r="L869">
        <f t="shared" si="39"/>
        <v>1697302.44</v>
      </c>
      <c r="M869" t="str">
        <f t="shared" si="40"/>
        <v>2026-10</v>
      </c>
      <c r="N869">
        <f t="shared" si="41"/>
        <v>0.81</v>
      </c>
    </row>
    <row r="870" spans="1:14">
      <c r="A870" t="s">
        <v>999</v>
      </c>
      <c r="B870" t="s">
        <v>184</v>
      </c>
      <c r="C870" t="s">
        <v>29</v>
      </c>
      <c r="D870" t="s">
        <v>44</v>
      </c>
      <c r="E870" s="1">
        <v>46070</v>
      </c>
      <c r="F870">
        <v>146</v>
      </c>
      <c r="G870" t="s">
        <v>35</v>
      </c>
      <c r="H870">
        <v>150</v>
      </c>
      <c r="I870">
        <v>61</v>
      </c>
      <c r="J870">
        <v>244686.05</v>
      </c>
      <c r="K870">
        <v>230972.27</v>
      </c>
      <c r="L870">
        <f t="shared" si="39"/>
        <v>13713.779999999999</v>
      </c>
      <c r="M870" t="str">
        <f t="shared" si="40"/>
        <v>2026-02</v>
      </c>
      <c r="N870">
        <f t="shared" si="41"/>
        <v>0.40666666666666668</v>
      </c>
    </row>
    <row r="871" spans="1:14">
      <c r="A871" t="s">
        <v>1000</v>
      </c>
      <c r="B871" t="s">
        <v>33</v>
      </c>
      <c r="C871" t="s">
        <v>29</v>
      </c>
      <c r="D871" t="s">
        <v>34</v>
      </c>
      <c r="E871" s="1">
        <v>46099</v>
      </c>
      <c r="F871">
        <v>568</v>
      </c>
      <c r="G871" t="s">
        <v>35</v>
      </c>
      <c r="H871">
        <v>150</v>
      </c>
      <c r="I871">
        <v>96</v>
      </c>
      <c r="J871">
        <v>833552.06</v>
      </c>
      <c r="K871">
        <v>522513.95</v>
      </c>
      <c r="L871">
        <f t="shared" si="39"/>
        <v>311038.11000000004</v>
      </c>
      <c r="M871" t="str">
        <f t="shared" si="40"/>
        <v>2026-03</v>
      </c>
      <c r="N871">
        <f t="shared" si="41"/>
        <v>0.64</v>
      </c>
    </row>
    <row r="872" spans="1:14">
      <c r="A872" t="s">
        <v>1001</v>
      </c>
      <c r="B872" t="s">
        <v>66</v>
      </c>
      <c r="C872" t="s">
        <v>49</v>
      </c>
      <c r="D872" t="s">
        <v>45</v>
      </c>
      <c r="E872" s="1">
        <v>46166</v>
      </c>
      <c r="F872">
        <v>115</v>
      </c>
      <c r="G872" t="s">
        <v>31</v>
      </c>
      <c r="H872">
        <v>150</v>
      </c>
      <c r="I872">
        <v>129</v>
      </c>
      <c r="J872">
        <v>537081.89</v>
      </c>
      <c r="K872">
        <v>181315.99</v>
      </c>
      <c r="L872">
        <f t="shared" si="39"/>
        <v>355765.9</v>
      </c>
      <c r="M872" t="str">
        <f t="shared" si="40"/>
        <v>2026-05</v>
      </c>
      <c r="N872">
        <f t="shared" si="41"/>
        <v>0.86</v>
      </c>
    </row>
    <row r="873" spans="1:14">
      <c r="A873" t="s">
        <v>1002</v>
      </c>
      <c r="B873" t="s">
        <v>226</v>
      </c>
      <c r="C873" t="s">
        <v>69</v>
      </c>
      <c r="D873" t="s">
        <v>55</v>
      </c>
      <c r="E873" s="1">
        <v>46182</v>
      </c>
      <c r="F873">
        <v>264</v>
      </c>
      <c r="G873" t="s">
        <v>41</v>
      </c>
      <c r="H873">
        <v>150</v>
      </c>
      <c r="I873">
        <v>89</v>
      </c>
      <c r="J873">
        <v>824362.62</v>
      </c>
      <c r="K873">
        <v>324706.88</v>
      </c>
      <c r="L873">
        <f t="shared" si="39"/>
        <v>499655.74</v>
      </c>
      <c r="M873" t="str">
        <f t="shared" si="40"/>
        <v>2026-06</v>
      </c>
      <c r="N873">
        <f t="shared" si="41"/>
        <v>0.59333333333333338</v>
      </c>
    </row>
    <row r="874" spans="1:14">
      <c r="A874" t="s">
        <v>1003</v>
      </c>
      <c r="B874" t="s">
        <v>163</v>
      </c>
      <c r="C874" t="s">
        <v>29</v>
      </c>
      <c r="D874" t="s">
        <v>69</v>
      </c>
      <c r="E874" s="1">
        <v>46150</v>
      </c>
      <c r="F874">
        <v>210</v>
      </c>
      <c r="G874" t="s">
        <v>35</v>
      </c>
      <c r="H874">
        <v>250</v>
      </c>
      <c r="I874">
        <v>79</v>
      </c>
      <c r="J874">
        <v>824663.26</v>
      </c>
      <c r="K874">
        <v>242162.06</v>
      </c>
      <c r="L874">
        <f t="shared" si="39"/>
        <v>582501.19999999995</v>
      </c>
      <c r="M874" t="str">
        <f t="shared" si="40"/>
        <v>2026-05</v>
      </c>
      <c r="N874">
        <f t="shared" si="41"/>
        <v>0.316</v>
      </c>
    </row>
    <row r="875" spans="1:14">
      <c r="A875" t="s">
        <v>1004</v>
      </c>
      <c r="B875" t="s">
        <v>51</v>
      </c>
      <c r="C875" t="s">
        <v>52</v>
      </c>
      <c r="D875" t="s">
        <v>30</v>
      </c>
      <c r="E875" s="1">
        <v>46204</v>
      </c>
      <c r="F875">
        <v>93</v>
      </c>
      <c r="G875" t="s">
        <v>35</v>
      </c>
      <c r="H875">
        <v>180</v>
      </c>
      <c r="I875">
        <v>179</v>
      </c>
      <c r="J875">
        <v>1759536.31</v>
      </c>
      <c r="K875">
        <v>196919.71</v>
      </c>
      <c r="L875">
        <f t="shared" si="39"/>
        <v>1562616.6</v>
      </c>
      <c r="M875" t="str">
        <f t="shared" si="40"/>
        <v>2026-07</v>
      </c>
      <c r="N875">
        <f t="shared" si="41"/>
        <v>0.99444444444444446</v>
      </c>
    </row>
    <row r="876" spans="1:14">
      <c r="A876" t="s">
        <v>1005</v>
      </c>
      <c r="B876" t="s">
        <v>88</v>
      </c>
      <c r="C876" t="s">
        <v>55</v>
      </c>
      <c r="D876" t="s">
        <v>44</v>
      </c>
      <c r="E876" s="1">
        <v>46319</v>
      </c>
      <c r="F876">
        <v>367</v>
      </c>
      <c r="G876" t="s">
        <v>31</v>
      </c>
      <c r="H876">
        <v>150</v>
      </c>
      <c r="I876">
        <v>131</v>
      </c>
      <c r="J876">
        <v>1290124.1499999999</v>
      </c>
      <c r="K876">
        <v>382907.99</v>
      </c>
      <c r="L876">
        <f t="shared" si="39"/>
        <v>907216.15999999992</v>
      </c>
      <c r="M876" t="str">
        <f t="shared" si="40"/>
        <v>2026-10</v>
      </c>
      <c r="N876">
        <f t="shared" si="41"/>
        <v>0.87333333333333329</v>
      </c>
    </row>
    <row r="877" spans="1:14">
      <c r="A877" t="s">
        <v>1006</v>
      </c>
      <c r="B877" t="s">
        <v>165</v>
      </c>
      <c r="C877" t="s">
        <v>34</v>
      </c>
      <c r="D877" t="s">
        <v>29</v>
      </c>
      <c r="E877" s="1">
        <v>46136</v>
      </c>
      <c r="F877">
        <v>134</v>
      </c>
      <c r="G877" t="s">
        <v>46</v>
      </c>
      <c r="H877">
        <v>250</v>
      </c>
      <c r="I877">
        <v>108</v>
      </c>
      <c r="J877">
        <v>1564261.33</v>
      </c>
      <c r="K877">
        <v>197668.95</v>
      </c>
      <c r="L877">
        <f t="shared" si="39"/>
        <v>1366592.3800000001</v>
      </c>
      <c r="M877" t="str">
        <f t="shared" si="40"/>
        <v>2026-04</v>
      </c>
      <c r="N877">
        <f t="shared" si="41"/>
        <v>0.432</v>
      </c>
    </row>
    <row r="878" spans="1:14">
      <c r="A878" t="s">
        <v>1007</v>
      </c>
      <c r="B878" t="s">
        <v>62</v>
      </c>
      <c r="C878" t="s">
        <v>52</v>
      </c>
      <c r="D878" t="s">
        <v>40</v>
      </c>
      <c r="E878" s="1">
        <v>46041</v>
      </c>
      <c r="F878">
        <v>482</v>
      </c>
      <c r="G878" t="s">
        <v>35</v>
      </c>
      <c r="H878">
        <v>180</v>
      </c>
      <c r="I878">
        <v>167</v>
      </c>
      <c r="J878">
        <v>1619696.43</v>
      </c>
      <c r="K878">
        <v>440587.15</v>
      </c>
      <c r="L878">
        <f t="shared" si="39"/>
        <v>1179109.2799999998</v>
      </c>
      <c r="M878" t="str">
        <f t="shared" si="40"/>
        <v>2026-01</v>
      </c>
      <c r="N878">
        <f t="shared" si="41"/>
        <v>0.92777777777777781</v>
      </c>
    </row>
    <row r="879" spans="1:14">
      <c r="A879" t="s">
        <v>1008</v>
      </c>
      <c r="B879" t="s">
        <v>144</v>
      </c>
      <c r="C879" t="s">
        <v>49</v>
      </c>
      <c r="D879" t="s">
        <v>55</v>
      </c>
      <c r="E879" s="1">
        <v>46295</v>
      </c>
      <c r="F879">
        <v>73</v>
      </c>
      <c r="G879" t="s">
        <v>35</v>
      </c>
      <c r="H879">
        <v>150</v>
      </c>
      <c r="I879">
        <v>99</v>
      </c>
      <c r="J879">
        <v>814333.04</v>
      </c>
      <c r="K879">
        <v>124287.59</v>
      </c>
      <c r="L879">
        <f t="shared" si="39"/>
        <v>690045.45000000007</v>
      </c>
      <c r="M879" t="str">
        <f t="shared" si="40"/>
        <v>2026-09</v>
      </c>
      <c r="N879">
        <f t="shared" si="41"/>
        <v>0.66</v>
      </c>
    </row>
    <row r="880" spans="1:14">
      <c r="A880" t="s">
        <v>1009</v>
      </c>
      <c r="B880" t="s">
        <v>299</v>
      </c>
      <c r="C880" t="s">
        <v>34</v>
      </c>
      <c r="D880" t="s">
        <v>44</v>
      </c>
      <c r="E880" s="1">
        <v>46145</v>
      </c>
      <c r="F880">
        <v>218</v>
      </c>
      <c r="G880" t="s">
        <v>46</v>
      </c>
      <c r="H880">
        <v>150</v>
      </c>
      <c r="I880">
        <v>130</v>
      </c>
      <c r="J880">
        <v>964887.55</v>
      </c>
      <c r="K880">
        <v>192235.79</v>
      </c>
      <c r="L880">
        <f t="shared" si="39"/>
        <v>772651.76</v>
      </c>
      <c r="M880" t="str">
        <f t="shared" si="40"/>
        <v>2026-05</v>
      </c>
      <c r="N880">
        <f t="shared" si="41"/>
        <v>0.8666666666666667</v>
      </c>
    </row>
    <row r="881" spans="1:14">
      <c r="A881" t="s">
        <v>1010</v>
      </c>
      <c r="B881" t="s">
        <v>307</v>
      </c>
      <c r="C881" t="s">
        <v>40</v>
      </c>
      <c r="D881" t="s">
        <v>45</v>
      </c>
      <c r="E881" s="1">
        <v>46142</v>
      </c>
      <c r="F881">
        <v>305</v>
      </c>
      <c r="G881" t="s">
        <v>35</v>
      </c>
      <c r="H881">
        <v>180</v>
      </c>
      <c r="I881">
        <v>70</v>
      </c>
      <c r="J881">
        <v>1021487.15</v>
      </c>
      <c r="K881">
        <v>371477.25</v>
      </c>
      <c r="L881">
        <f t="shared" si="39"/>
        <v>650009.9</v>
      </c>
      <c r="M881" t="str">
        <f t="shared" si="40"/>
        <v>2026-04</v>
      </c>
      <c r="N881">
        <f t="shared" si="41"/>
        <v>0.3888888888888889</v>
      </c>
    </row>
    <row r="882" spans="1:14">
      <c r="A882" t="s">
        <v>1011</v>
      </c>
      <c r="B882" t="s">
        <v>282</v>
      </c>
      <c r="C882" t="s">
        <v>52</v>
      </c>
      <c r="D882" t="s">
        <v>29</v>
      </c>
      <c r="E882" s="1">
        <v>46109</v>
      </c>
      <c r="F882">
        <v>278</v>
      </c>
      <c r="G882" t="s">
        <v>31</v>
      </c>
      <c r="H882">
        <v>180</v>
      </c>
      <c r="I882">
        <v>113</v>
      </c>
      <c r="J882">
        <v>1174662.78</v>
      </c>
      <c r="K882">
        <v>411174.42</v>
      </c>
      <c r="L882">
        <f t="shared" si="39"/>
        <v>763488.3600000001</v>
      </c>
      <c r="M882" t="str">
        <f t="shared" si="40"/>
        <v>2026-03</v>
      </c>
      <c r="N882">
        <f t="shared" si="41"/>
        <v>0.62777777777777777</v>
      </c>
    </row>
    <row r="883" spans="1:14">
      <c r="A883" t="s">
        <v>1012</v>
      </c>
      <c r="B883" t="s">
        <v>307</v>
      </c>
      <c r="C883" t="s">
        <v>40</v>
      </c>
      <c r="D883" t="s">
        <v>45</v>
      </c>
      <c r="E883" s="1">
        <v>46316</v>
      </c>
      <c r="F883">
        <v>248</v>
      </c>
      <c r="G883" t="s">
        <v>41</v>
      </c>
      <c r="H883">
        <v>300</v>
      </c>
      <c r="I883">
        <v>114</v>
      </c>
      <c r="J883">
        <v>649658.82999999996</v>
      </c>
      <c r="K883">
        <v>370892.09</v>
      </c>
      <c r="L883">
        <f t="shared" si="39"/>
        <v>278766.73999999993</v>
      </c>
      <c r="M883" t="str">
        <f t="shared" si="40"/>
        <v>2026-10</v>
      </c>
      <c r="N883">
        <f t="shared" si="41"/>
        <v>0.38</v>
      </c>
    </row>
    <row r="884" spans="1:14">
      <c r="A884" t="s">
        <v>1013</v>
      </c>
      <c r="B884" t="s">
        <v>28</v>
      </c>
      <c r="C884" t="s">
        <v>29</v>
      </c>
      <c r="D884" t="s">
        <v>30</v>
      </c>
      <c r="E884" s="1">
        <v>46099</v>
      </c>
      <c r="F884">
        <v>527</v>
      </c>
      <c r="G884" t="s">
        <v>31</v>
      </c>
      <c r="H884">
        <v>150</v>
      </c>
      <c r="I884">
        <v>104</v>
      </c>
      <c r="J884">
        <v>823489.9</v>
      </c>
      <c r="K884">
        <v>532148.18000000005</v>
      </c>
      <c r="L884">
        <f t="shared" si="39"/>
        <v>291341.71999999997</v>
      </c>
      <c r="M884" t="str">
        <f t="shared" si="40"/>
        <v>2026-03</v>
      </c>
      <c r="N884">
        <f t="shared" si="41"/>
        <v>0.69333333333333336</v>
      </c>
    </row>
    <row r="885" spans="1:14">
      <c r="A885" t="s">
        <v>1014</v>
      </c>
      <c r="B885" t="s">
        <v>66</v>
      </c>
      <c r="C885" t="s">
        <v>49</v>
      </c>
      <c r="D885" t="s">
        <v>45</v>
      </c>
      <c r="E885" s="1">
        <v>46205</v>
      </c>
      <c r="F885">
        <v>365</v>
      </c>
      <c r="G885" t="s">
        <v>35</v>
      </c>
      <c r="H885">
        <v>250</v>
      </c>
      <c r="I885">
        <v>222</v>
      </c>
      <c r="J885">
        <v>2407803.02</v>
      </c>
      <c r="K885">
        <v>481548.97</v>
      </c>
      <c r="L885">
        <f t="shared" si="39"/>
        <v>1926254.05</v>
      </c>
      <c r="M885" t="str">
        <f t="shared" si="40"/>
        <v>2026-07</v>
      </c>
      <c r="N885">
        <f t="shared" si="41"/>
        <v>0.88800000000000001</v>
      </c>
    </row>
    <row r="886" spans="1:14">
      <c r="A886" t="s">
        <v>1015</v>
      </c>
      <c r="B886" t="s">
        <v>200</v>
      </c>
      <c r="C886" t="s">
        <v>69</v>
      </c>
      <c r="D886" t="s">
        <v>52</v>
      </c>
      <c r="E886" s="1">
        <v>46028</v>
      </c>
      <c r="F886">
        <v>73</v>
      </c>
      <c r="G886" t="s">
        <v>35</v>
      </c>
      <c r="H886">
        <v>180</v>
      </c>
      <c r="I886">
        <v>76</v>
      </c>
      <c r="J886">
        <v>755399.22</v>
      </c>
      <c r="K886">
        <v>139747.17000000001</v>
      </c>
      <c r="L886">
        <f t="shared" si="39"/>
        <v>615652.04999999993</v>
      </c>
      <c r="M886" t="str">
        <f t="shared" si="40"/>
        <v>2026-01</v>
      </c>
      <c r="N886">
        <f t="shared" si="41"/>
        <v>0.42222222222222222</v>
      </c>
    </row>
    <row r="887" spans="1:14">
      <c r="A887" t="s">
        <v>1016</v>
      </c>
      <c r="B887" t="s">
        <v>240</v>
      </c>
      <c r="C887" t="s">
        <v>55</v>
      </c>
      <c r="D887" t="s">
        <v>40</v>
      </c>
      <c r="E887" s="1">
        <v>46230</v>
      </c>
      <c r="F887">
        <v>355</v>
      </c>
      <c r="G887" t="s">
        <v>31</v>
      </c>
      <c r="H887">
        <v>300</v>
      </c>
      <c r="I887">
        <v>81</v>
      </c>
      <c r="J887">
        <v>604578.91</v>
      </c>
      <c r="K887">
        <v>537982.49</v>
      </c>
      <c r="L887">
        <f t="shared" si="39"/>
        <v>66596.420000000042</v>
      </c>
      <c r="M887" t="str">
        <f t="shared" si="40"/>
        <v>2026-07</v>
      </c>
      <c r="N887">
        <f t="shared" si="41"/>
        <v>0.27</v>
      </c>
    </row>
    <row r="888" spans="1:14">
      <c r="A888" t="s">
        <v>1017</v>
      </c>
      <c r="B888" t="s">
        <v>169</v>
      </c>
      <c r="C888" t="s">
        <v>34</v>
      </c>
      <c r="D888" t="s">
        <v>40</v>
      </c>
      <c r="E888" s="1">
        <v>46138</v>
      </c>
      <c r="F888">
        <v>594</v>
      </c>
      <c r="G888" t="s">
        <v>46</v>
      </c>
      <c r="H888">
        <v>300</v>
      </c>
      <c r="I888">
        <v>190</v>
      </c>
      <c r="J888">
        <v>1500227.15</v>
      </c>
      <c r="K888">
        <v>534852.31999999995</v>
      </c>
      <c r="L888">
        <f t="shared" si="39"/>
        <v>965374.83</v>
      </c>
      <c r="M888" t="str">
        <f t="shared" si="40"/>
        <v>2026-04</v>
      </c>
      <c r="N888">
        <f t="shared" si="41"/>
        <v>0.6333333333333333</v>
      </c>
    </row>
    <row r="889" spans="1:14">
      <c r="A889" t="s">
        <v>1018</v>
      </c>
      <c r="B889" t="s">
        <v>175</v>
      </c>
      <c r="C889" t="s">
        <v>40</v>
      </c>
      <c r="D889" t="s">
        <v>29</v>
      </c>
      <c r="E889" s="1">
        <v>46068</v>
      </c>
      <c r="F889">
        <v>281</v>
      </c>
      <c r="G889" t="s">
        <v>31</v>
      </c>
      <c r="H889">
        <v>250</v>
      </c>
      <c r="I889">
        <v>172</v>
      </c>
      <c r="J889">
        <v>1806040.15</v>
      </c>
      <c r="K889">
        <v>315180.24</v>
      </c>
      <c r="L889">
        <f t="shared" si="39"/>
        <v>1490859.91</v>
      </c>
      <c r="M889" t="str">
        <f t="shared" si="40"/>
        <v>2026-02</v>
      </c>
      <c r="N889">
        <f t="shared" si="41"/>
        <v>0.68799999999999994</v>
      </c>
    </row>
    <row r="890" spans="1:14">
      <c r="A890" t="s">
        <v>1019</v>
      </c>
      <c r="B890" t="s">
        <v>260</v>
      </c>
      <c r="C890" t="s">
        <v>69</v>
      </c>
      <c r="D890" t="s">
        <v>29</v>
      </c>
      <c r="E890" s="1">
        <v>46317</v>
      </c>
      <c r="F890">
        <v>422</v>
      </c>
      <c r="G890" t="s">
        <v>31</v>
      </c>
      <c r="H890">
        <v>250</v>
      </c>
      <c r="I890">
        <v>62</v>
      </c>
      <c r="J890">
        <v>294245.64</v>
      </c>
      <c r="K890">
        <v>583347.32999999996</v>
      </c>
      <c r="L890">
        <f t="shared" si="39"/>
        <v>-289101.68999999994</v>
      </c>
      <c r="M890" t="str">
        <f t="shared" si="40"/>
        <v>2026-10</v>
      </c>
      <c r="N890">
        <f t="shared" si="41"/>
        <v>0.248</v>
      </c>
    </row>
    <row r="891" spans="1:14">
      <c r="A891" t="s">
        <v>1020</v>
      </c>
      <c r="B891" t="s">
        <v>77</v>
      </c>
      <c r="C891" t="s">
        <v>45</v>
      </c>
      <c r="D891" t="s">
        <v>29</v>
      </c>
      <c r="E891" s="1">
        <v>46282</v>
      </c>
      <c r="F891">
        <v>500</v>
      </c>
      <c r="G891" t="s">
        <v>46</v>
      </c>
      <c r="H891">
        <v>300</v>
      </c>
      <c r="I891">
        <v>133</v>
      </c>
      <c r="J891">
        <v>1482124.5</v>
      </c>
      <c r="K891">
        <v>422819.92</v>
      </c>
      <c r="L891">
        <f t="shared" si="39"/>
        <v>1059304.58</v>
      </c>
      <c r="M891" t="str">
        <f t="shared" si="40"/>
        <v>2026-09</v>
      </c>
      <c r="N891">
        <f t="shared" si="41"/>
        <v>0.44333333333333336</v>
      </c>
    </row>
    <row r="892" spans="1:14">
      <c r="A892" t="s">
        <v>1021</v>
      </c>
      <c r="B892" t="s">
        <v>94</v>
      </c>
      <c r="C892" t="s">
        <v>34</v>
      </c>
      <c r="D892" t="s">
        <v>30</v>
      </c>
      <c r="E892" s="1">
        <v>46100</v>
      </c>
      <c r="F892">
        <v>598</v>
      </c>
      <c r="G892" t="s">
        <v>35</v>
      </c>
      <c r="H892">
        <v>150</v>
      </c>
      <c r="I892">
        <v>101</v>
      </c>
      <c r="J892">
        <v>777350.25</v>
      </c>
      <c r="K892">
        <v>746006.98</v>
      </c>
      <c r="L892">
        <f t="shared" si="39"/>
        <v>31343.270000000019</v>
      </c>
      <c r="M892" t="str">
        <f t="shared" si="40"/>
        <v>2026-03</v>
      </c>
      <c r="N892">
        <f t="shared" si="41"/>
        <v>0.67333333333333334</v>
      </c>
    </row>
    <row r="893" spans="1:14">
      <c r="A893" t="s">
        <v>1022</v>
      </c>
      <c r="B893" t="s">
        <v>60</v>
      </c>
      <c r="C893" t="s">
        <v>44</v>
      </c>
      <c r="D893" t="s">
        <v>34</v>
      </c>
      <c r="E893" s="1">
        <v>46057</v>
      </c>
      <c r="F893">
        <v>460</v>
      </c>
      <c r="G893" t="s">
        <v>41</v>
      </c>
      <c r="H893">
        <v>150</v>
      </c>
      <c r="I893">
        <v>148</v>
      </c>
      <c r="J893">
        <v>1427070.85</v>
      </c>
      <c r="K893">
        <v>503387.68</v>
      </c>
      <c r="L893">
        <f t="shared" si="39"/>
        <v>923683.17000000016</v>
      </c>
      <c r="M893" t="str">
        <f t="shared" si="40"/>
        <v>2026-02</v>
      </c>
      <c r="N893">
        <f t="shared" si="41"/>
        <v>0.98666666666666669</v>
      </c>
    </row>
    <row r="894" spans="1:14">
      <c r="A894" t="s">
        <v>1023</v>
      </c>
      <c r="B894" t="s">
        <v>75</v>
      </c>
      <c r="C894" t="s">
        <v>55</v>
      </c>
      <c r="D894" t="s">
        <v>30</v>
      </c>
      <c r="E894" s="1">
        <v>46086</v>
      </c>
      <c r="F894">
        <v>67</v>
      </c>
      <c r="G894" t="s">
        <v>46</v>
      </c>
      <c r="H894">
        <v>150</v>
      </c>
      <c r="I894">
        <v>115</v>
      </c>
      <c r="J894">
        <v>374245.3</v>
      </c>
      <c r="K894">
        <v>119169.32</v>
      </c>
      <c r="L894">
        <f t="shared" si="39"/>
        <v>255075.97999999998</v>
      </c>
      <c r="M894" t="str">
        <f t="shared" si="40"/>
        <v>2026-03</v>
      </c>
      <c r="N894">
        <f t="shared" si="41"/>
        <v>0.76666666666666672</v>
      </c>
    </row>
    <row r="895" spans="1:14">
      <c r="A895" t="s">
        <v>1024</v>
      </c>
      <c r="B895" t="s">
        <v>208</v>
      </c>
      <c r="C895" t="s">
        <v>44</v>
      </c>
      <c r="D895" t="s">
        <v>49</v>
      </c>
      <c r="E895" s="1">
        <v>46137</v>
      </c>
      <c r="F895">
        <v>98</v>
      </c>
      <c r="G895" t="s">
        <v>46</v>
      </c>
      <c r="H895">
        <v>300</v>
      </c>
      <c r="I895">
        <v>66</v>
      </c>
      <c r="J895">
        <v>495760.25</v>
      </c>
      <c r="K895">
        <v>242907.35</v>
      </c>
      <c r="L895">
        <f t="shared" si="39"/>
        <v>252852.9</v>
      </c>
      <c r="M895" t="str">
        <f t="shared" si="40"/>
        <v>2026-04</v>
      </c>
      <c r="N895">
        <f t="shared" si="41"/>
        <v>0.22</v>
      </c>
    </row>
    <row r="896" spans="1:14">
      <c r="A896" t="s">
        <v>1025</v>
      </c>
      <c r="B896" t="s">
        <v>90</v>
      </c>
      <c r="C896" t="s">
        <v>40</v>
      </c>
      <c r="D896" t="s">
        <v>30</v>
      </c>
      <c r="E896" s="1">
        <v>46087</v>
      </c>
      <c r="F896">
        <v>287</v>
      </c>
      <c r="G896" t="s">
        <v>46</v>
      </c>
      <c r="H896">
        <v>300</v>
      </c>
      <c r="I896">
        <v>293</v>
      </c>
      <c r="J896">
        <v>1676783.1</v>
      </c>
      <c r="K896">
        <v>480192.48</v>
      </c>
      <c r="L896">
        <f t="shared" si="39"/>
        <v>1196590.6200000001</v>
      </c>
      <c r="M896" t="str">
        <f t="shared" si="40"/>
        <v>2026-03</v>
      </c>
      <c r="N896">
        <f t="shared" si="41"/>
        <v>0.97666666666666668</v>
      </c>
    </row>
    <row r="897" spans="1:14">
      <c r="A897" t="s">
        <v>1026</v>
      </c>
      <c r="B897" t="s">
        <v>192</v>
      </c>
      <c r="C897" t="s">
        <v>49</v>
      </c>
      <c r="D897" t="s">
        <v>44</v>
      </c>
      <c r="E897" s="1">
        <v>46121</v>
      </c>
      <c r="F897">
        <v>431</v>
      </c>
      <c r="G897" t="s">
        <v>31</v>
      </c>
      <c r="H897">
        <v>180</v>
      </c>
      <c r="I897">
        <v>161</v>
      </c>
      <c r="J897">
        <v>791405.03</v>
      </c>
      <c r="K897">
        <v>367403.66</v>
      </c>
      <c r="L897">
        <f t="shared" si="39"/>
        <v>424001.37000000005</v>
      </c>
      <c r="M897" t="str">
        <f t="shared" si="40"/>
        <v>2026-04</v>
      </c>
      <c r="N897">
        <f t="shared" si="41"/>
        <v>0.89444444444444449</v>
      </c>
    </row>
    <row r="898" spans="1:14">
      <c r="A898" t="s">
        <v>1027</v>
      </c>
      <c r="B898" t="s">
        <v>200</v>
      </c>
      <c r="C898" t="s">
        <v>69</v>
      </c>
      <c r="D898" t="s">
        <v>52</v>
      </c>
      <c r="E898" s="1">
        <v>46285</v>
      </c>
      <c r="F898">
        <v>281</v>
      </c>
      <c r="G898" t="s">
        <v>41</v>
      </c>
      <c r="H898">
        <v>180</v>
      </c>
      <c r="I898">
        <v>87</v>
      </c>
      <c r="J898">
        <v>785402.99</v>
      </c>
      <c r="K898">
        <v>263213.51</v>
      </c>
      <c r="L898">
        <f t="shared" si="39"/>
        <v>522189.48</v>
      </c>
      <c r="M898" t="str">
        <f t="shared" si="40"/>
        <v>2026-09</v>
      </c>
      <c r="N898">
        <f t="shared" si="41"/>
        <v>0.48333333333333334</v>
      </c>
    </row>
    <row r="899" spans="1:14">
      <c r="A899" t="s">
        <v>1028</v>
      </c>
      <c r="B899" t="s">
        <v>147</v>
      </c>
      <c r="C899" t="s">
        <v>29</v>
      </c>
      <c r="D899" t="s">
        <v>49</v>
      </c>
      <c r="E899" s="1">
        <v>46307</v>
      </c>
      <c r="F899">
        <v>61</v>
      </c>
      <c r="G899" t="s">
        <v>41</v>
      </c>
      <c r="H899">
        <v>150</v>
      </c>
      <c r="I899">
        <v>99</v>
      </c>
      <c r="J899">
        <v>527161.85</v>
      </c>
      <c r="K899">
        <v>116676.85</v>
      </c>
      <c r="L899">
        <f t="shared" ref="L899:L962" si="42">J899-K899</f>
        <v>410485</v>
      </c>
      <c r="M899" t="str">
        <f t="shared" ref="M899:M962" si="43">TEXT(E899,"YYYY-MM")</f>
        <v>2026-10</v>
      </c>
      <c r="N899">
        <f t="shared" ref="N899:N962" si="44">I899/H899</f>
        <v>0.66</v>
      </c>
    </row>
    <row r="900" spans="1:14">
      <c r="A900" t="s">
        <v>1029</v>
      </c>
      <c r="B900" t="s">
        <v>118</v>
      </c>
      <c r="C900" t="s">
        <v>40</v>
      </c>
      <c r="D900" t="s">
        <v>69</v>
      </c>
      <c r="E900" s="1">
        <v>46105</v>
      </c>
      <c r="F900">
        <v>124</v>
      </c>
      <c r="G900" t="s">
        <v>41</v>
      </c>
      <c r="H900">
        <v>250</v>
      </c>
      <c r="I900">
        <v>184</v>
      </c>
      <c r="J900">
        <v>1757786.17</v>
      </c>
      <c r="K900">
        <v>205575.82</v>
      </c>
      <c r="L900">
        <f t="shared" si="42"/>
        <v>1552210.3499999999</v>
      </c>
      <c r="M900" t="str">
        <f t="shared" si="43"/>
        <v>2026-03</v>
      </c>
      <c r="N900">
        <f t="shared" si="44"/>
        <v>0.73599999999999999</v>
      </c>
    </row>
    <row r="901" spans="1:14">
      <c r="A901" t="s">
        <v>1030</v>
      </c>
      <c r="B901" t="s">
        <v>218</v>
      </c>
      <c r="C901" t="s">
        <v>55</v>
      </c>
      <c r="D901" t="s">
        <v>29</v>
      </c>
      <c r="E901" s="1">
        <v>46035</v>
      </c>
      <c r="F901">
        <v>356</v>
      </c>
      <c r="G901" t="s">
        <v>35</v>
      </c>
      <c r="H901">
        <v>180</v>
      </c>
      <c r="I901">
        <v>134</v>
      </c>
      <c r="J901">
        <v>808682.18</v>
      </c>
      <c r="K901">
        <v>278089.57</v>
      </c>
      <c r="L901">
        <f t="shared" si="42"/>
        <v>530592.6100000001</v>
      </c>
      <c r="M901" t="str">
        <f t="shared" si="43"/>
        <v>2026-01</v>
      </c>
      <c r="N901">
        <f t="shared" si="44"/>
        <v>0.74444444444444446</v>
      </c>
    </row>
    <row r="902" spans="1:14">
      <c r="A902" t="s">
        <v>1031</v>
      </c>
      <c r="B902" t="s">
        <v>79</v>
      </c>
      <c r="C902" t="s">
        <v>52</v>
      </c>
      <c r="D902" t="s">
        <v>45</v>
      </c>
      <c r="E902" s="1">
        <v>46035</v>
      </c>
      <c r="F902">
        <v>75</v>
      </c>
      <c r="G902" t="s">
        <v>41</v>
      </c>
      <c r="H902">
        <v>150</v>
      </c>
      <c r="I902">
        <v>114</v>
      </c>
      <c r="J902">
        <v>1609052.78</v>
      </c>
      <c r="K902">
        <v>117142.97</v>
      </c>
      <c r="L902">
        <f t="shared" si="42"/>
        <v>1491909.81</v>
      </c>
      <c r="M902" t="str">
        <f t="shared" si="43"/>
        <v>2026-01</v>
      </c>
      <c r="N902">
        <f t="shared" si="44"/>
        <v>0.76</v>
      </c>
    </row>
    <row r="903" spans="1:14">
      <c r="A903" t="s">
        <v>1032</v>
      </c>
      <c r="B903" t="s">
        <v>141</v>
      </c>
      <c r="C903" t="s">
        <v>69</v>
      </c>
      <c r="D903" t="s">
        <v>44</v>
      </c>
      <c r="E903" s="1">
        <v>46155</v>
      </c>
      <c r="F903">
        <v>87</v>
      </c>
      <c r="G903" t="s">
        <v>46</v>
      </c>
      <c r="H903">
        <v>250</v>
      </c>
      <c r="I903">
        <v>165</v>
      </c>
      <c r="J903">
        <v>591161.97</v>
      </c>
      <c r="K903">
        <v>205266.96</v>
      </c>
      <c r="L903">
        <f t="shared" si="42"/>
        <v>385895.01</v>
      </c>
      <c r="M903" t="str">
        <f t="shared" si="43"/>
        <v>2026-05</v>
      </c>
      <c r="N903">
        <f t="shared" si="44"/>
        <v>0.66</v>
      </c>
    </row>
    <row r="904" spans="1:14">
      <c r="A904" t="s">
        <v>1033</v>
      </c>
      <c r="B904" t="s">
        <v>33</v>
      </c>
      <c r="C904" t="s">
        <v>29</v>
      </c>
      <c r="D904" t="s">
        <v>34</v>
      </c>
      <c r="E904" s="1">
        <v>46284</v>
      </c>
      <c r="F904">
        <v>82</v>
      </c>
      <c r="G904" t="s">
        <v>35</v>
      </c>
      <c r="H904">
        <v>180</v>
      </c>
      <c r="I904">
        <v>103</v>
      </c>
      <c r="J904">
        <v>382342.05</v>
      </c>
      <c r="K904">
        <v>168744.42</v>
      </c>
      <c r="L904">
        <f t="shared" si="42"/>
        <v>213597.62999999998</v>
      </c>
      <c r="M904" t="str">
        <f t="shared" si="43"/>
        <v>2026-09</v>
      </c>
      <c r="N904">
        <f t="shared" si="44"/>
        <v>0.57222222222222219</v>
      </c>
    </row>
    <row r="905" spans="1:14">
      <c r="A905" t="s">
        <v>1034</v>
      </c>
      <c r="B905" t="s">
        <v>307</v>
      </c>
      <c r="C905" t="s">
        <v>40</v>
      </c>
      <c r="D905" t="s">
        <v>45</v>
      </c>
      <c r="E905" s="1">
        <v>46285</v>
      </c>
      <c r="F905">
        <v>330</v>
      </c>
      <c r="G905" t="s">
        <v>35</v>
      </c>
      <c r="H905">
        <v>250</v>
      </c>
      <c r="I905">
        <v>73</v>
      </c>
      <c r="J905">
        <v>463636.38</v>
      </c>
      <c r="K905">
        <v>375004.55</v>
      </c>
      <c r="L905">
        <f t="shared" si="42"/>
        <v>88631.830000000016</v>
      </c>
      <c r="M905" t="str">
        <f t="shared" si="43"/>
        <v>2026-09</v>
      </c>
      <c r="N905">
        <f t="shared" si="44"/>
        <v>0.29199999999999998</v>
      </c>
    </row>
    <row r="906" spans="1:14">
      <c r="A906" t="s">
        <v>1035</v>
      </c>
      <c r="B906" t="s">
        <v>307</v>
      </c>
      <c r="C906" t="s">
        <v>40</v>
      </c>
      <c r="D906" t="s">
        <v>45</v>
      </c>
      <c r="E906" s="1">
        <v>46035</v>
      </c>
      <c r="F906">
        <v>551</v>
      </c>
      <c r="G906" t="s">
        <v>35</v>
      </c>
      <c r="H906">
        <v>180</v>
      </c>
      <c r="I906">
        <v>58</v>
      </c>
      <c r="J906">
        <v>809239.9</v>
      </c>
      <c r="K906">
        <v>439864.04</v>
      </c>
      <c r="L906">
        <f t="shared" si="42"/>
        <v>369375.86000000004</v>
      </c>
      <c r="M906" t="str">
        <f t="shared" si="43"/>
        <v>2026-01</v>
      </c>
      <c r="N906">
        <f t="shared" si="44"/>
        <v>0.32222222222222224</v>
      </c>
    </row>
    <row r="907" spans="1:14">
      <c r="A907" t="s">
        <v>1036</v>
      </c>
      <c r="B907" t="s">
        <v>246</v>
      </c>
      <c r="C907" t="s">
        <v>52</v>
      </c>
      <c r="D907" t="s">
        <v>69</v>
      </c>
      <c r="E907" s="1">
        <v>46045</v>
      </c>
      <c r="F907">
        <v>108</v>
      </c>
      <c r="G907" t="s">
        <v>46</v>
      </c>
      <c r="H907">
        <v>180</v>
      </c>
      <c r="I907">
        <v>129</v>
      </c>
      <c r="J907">
        <v>431321.09</v>
      </c>
      <c r="K907">
        <v>159099.46</v>
      </c>
      <c r="L907">
        <f t="shared" si="42"/>
        <v>272221.63</v>
      </c>
      <c r="M907" t="str">
        <f t="shared" si="43"/>
        <v>2026-01</v>
      </c>
      <c r="N907">
        <f t="shared" si="44"/>
        <v>0.71666666666666667</v>
      </c>
    </row>
    <row r="908" spans="1:14">
      <c r="A908" t="s">
        <v>1037</v>
      </c>
      <c r="B908" t="s">
        <v>137</v>
      </c>
      <c r="C908" t="s">
        <v>69</v>
      </c>
      <c r="D908" t="s">
        <v>34</v>
      </c>
      <c r="E908" s="1">
        <v>46163</v>
      </c>
      <c r="F908">
        <v>467</v>
      </c>
      <c r="G908" t="s">
        <v>46</v>
      </c>
      <c r="H908">
        <v>180</v>
      </c>
      <c r="I908">
        <v>132</v>
      </c>
      <c r="J908">
        <v>659600.23</v>
      </c>
      <c r="K908">
        <v>580563.5</v>
      </c>
      <c r="L908">
        <f t="shared" si="42"/>
        <v>79036.729999999981</v>
      </c>
      <c r="M908" t="str">
        <f t="shared" si="43"/>
        <v>2026-05</v>
      </c>
      <c r="N908">
        <f t="shared" si="44"/>
        <v>0.73333333333333328</v>
      </c>
    </row>
    <row r="909" spans="1:14">
      <c r="A909" t="s">
        <v>1038</v>
      </c>
      <c r="B909" t="s">
        <v>530</v>
      </c>
      <c r="C909" t="s">
        <v>34</v>
      </c>
      <c r="D909" t="s">
        <v>45</v>
      </c>
      <c r="E909" s="1">
        <v>46079</v>
      </c>
      <c r="F909">
        <v>223</v>
      </c>
      <c r="G909" t="s">
        <v>35</v>
      </c>
      <c r="H909">
        <v>150</v>
      </c>
      <c r="I909">
        <v>147</v>
      </c>
      <c r="J909">
        <v>1981806.67</v>
      </c>
      <c r="K909">
        <v>221958.08</v>
      </c>
      <c r="L909">
        <f t="shared" si="42"/>
        <v>1759848.5899999999</v>
      </c>
      <c r="M909" t="str">
        <f t="shared" si="43"/>
        <v>2026-02</v>
      </c>
      <c r="N909">
        <f t="shared" si="44"/>
        <v>0.98</v>
      </c>
    </row>
    <row r="910" spans="1:14">
      <c r="A910" t="s">
        <v>1039</v>
      </c>
      <c r="B910" t="s">
        <v>54</v>
      </c>
      <c r="C910" t="s">
        <v>52</v>
      </c>
      <c r="D910" t="s">
        <v>55</v>
      </c>
      <c r="E910" s="1">
        <v>46047</v>
      </c>
      <c r="F910">
        <v>161</v>
      </c>
      <c r="G910" t="s">
        <v>46</v>
      </c>
      <c r="H910">
        <v>180</v>
      </c>
      <c r="I910">
        <v>89</v>
      </c>
      <c r="J910">
        <v>374192.48</v>
      </c>
      <c r="K910">
        <v>241926.9</v>
      </c>
      <c r="L910">
        <f t="shared" si="42"/>
        <v>132265.57999999999</v>
      </c>
      <c r="M910" t="str">
        <f t="shared" si="43"/>
        <v>2026-01</v>
      </c>
      <c r="N910">
        <f t="shared" si="44"/>
        <v>0.49444444444444446</v>
      </c>
    </row>
    <row r="911" spans="1:14">
      <c r="A911" t="s">
        <v>1040</v>
      </c>
      <c r="B911" t="s">
        <v>210</v>
      </c>
      <c r="C911" t="s">
        <v>55</v>
      </c>
      <c r="D911" t="s">
        <v>69</v>
      </c>
      <c r="E911" s="1">
        <v>46050</v>
      </c>
      <c r="F911">
        <v>521</v>
      </c>
      <c r="G911" t="s">
        <v>35</v>
      </c>
      <c r="H911">
        <v>180</v>
      </c>
      <c r="I911">
        <v>173</v>
      </c>
      <c r="J911">
        <v>777472.91</v>
      </c>
      <c r="K911">
        <v>704477.84</v>
      </c>
      <c r="L911">
        <f t="shared" si="42"/>
        <v>72995.070000000065</v>
      </c>
      <c r="M911" t="str">
        <f t="shared" si="43"/>
        <v>2026-01</v>
      </c>
      <c r="N911">
        <f t="shared" si="44"/>
        <v>0.96111111111111114</v>
      </c>
    </row>
    <row r="912" spans="1:14">
      <c r="A912" t="s">
        <v>1041</v>
      </c>
      <c r="B912" t="s">
        <v>116</v>
      </c>
      <c r="C912" t="s">
        <v>30</v>
      </c>
      <c r="D912" t="s">
        <v>44</v>
      </c>
      <c r="E912" s="1">
        <v>46036</v>
      </c>
      <c r="F912">
        <v>253</v>
      </c>
      <c r="G912" t="s">
        <v>41</v>
      </c>
      <c r="H912">
        <v>300</v>
      </c>
      <c r="I912">
        <v>203</v>
      </c>
      <c r="J912">
        <v>2546745.2400000002</v>
      </c>
      <c r="K912">
        <v>285288.52</v>
      </c>
      <c r="L912">
        <f t="shared" si="42"/>
        <v>2261456.7200000002</v>
      </c>
      <c r="M912" t="str">
        <f t="shared" si="43"/>
        <v>2026-01</v>
      </c>
      <c r="N912">
        <f t="shared" si="44"/>
        <v>0.67666666666666664</v>
      </c>
    </row>
    <row r="913" spans="1:14">
      <c r="A913" t="s">
        <v>1042</v>
      </c>
      <c r="B913" t="s">
        <v>39</v>
      </c>
      <c r="C913" t="s">
        <v>29</v>
      </c>
      <c r="D913" t="s">
        <v>40</v>
      </c>
      <c r="E913" s="1">
        <v>46235</v>
      </c>
      <c r="F913">
        <v>64</v>
      </c>
      <c r="G913" t="s">
        <v>31</v>
      </c>
      <c r="H913">
        <v>150</v>
      </c>
      <c r="I913">
        <v>67</v>
      </c>
      <c r="J913">
        <v>579312.5</v>
      </c>
      <c r="K913">
        <v>149514.19</v>
      </c>
      <c r="L913">
        <f t="shared" si="42"/>
        <v>429798.31</v>
      </c>
      <c r="M913" t="str">
        <f t="shared" si="43"/>
        <v>2026-08</v>
      </c>
      <c r="N913">
        <f t="shared" si="44"/>
        <v>0.44666666666666666</v>
      </c>
    </row>
    <row r="914" spans="1:14">
      <c r="A914" t="s">
        <v>1043</v>
      </c>
      <c r="B914" t="s">
        <v>226</v>
      </c>
      <c r="C914" t="s">
        <v>69</v>
      </c>
      <c r="D914" t="s">
        <v>55</v>
      </c>
      <c r="E914" s="1">
        <v>46263</v>
      </c>
      <c r="F914">
        <v>410</v>
      </c>
      <c r="G914" t="s">
        <v>46</v>
      </c>
      <c r="H914">
        <v>250</v>
      </c>
      <c r="I914">
        <v>173</v>
      </c>
      <c r="J914">
        <v>1745064.13</v>
      </c>
      <c r="K914">
        <v>505121.25</v>
      </c>
      <c r="L914">
        <f t="shared" si="42"/>
        <v>1239942.8799999999</v>
      </c>
      <c r="M914" t="str">
        <f t="shared" si="43"/>
        <v>2026-08</v>
      </c>
      <c r="N914">
        <f t="shared" si="44"/>
        <v>0.69199999999999995</v>
      </c>
    </row>
    <row r="915" spans="1:14">
      <c r="A915" t="s">
        <v>1044</v>
      </c>
      <c r="B915" t="s">
        <v>94</v>
      </c>
      <c r="C915" t="s">
        <v>34</v>
      </c>
      <c r="D915" t="s">
        <v>30</v>
      </c>
      <c r="E915" s="1">
        <v>46050</v>
      </c>
      <c r="F915">
        <v>213</v>
      </c>
      <c r="G915" t="s">
        <v>31</v>
      </c>
      <c r="H915">
        <v>250</v>
      </c>
      <c r="I915">
        <v>213</v>
      </c>
      <c r="J915">
        <v>2068575.59</v>
      </c>
      <c r="K915">
        <v>259443.02</v>
      </c>
      <c r="L915">
        <f t="shared" si="42"/>
        <v>1809132.57</v>
      </c>
      <c r="M915" t="str">
        <f t="shared" si="43"/>
        <v>2026-01</v>
      </c>
      <c r="N915">
        <f t="shared" si="44"/>
        <v>0.85199999999999998</v>
      </c>
    </row>
    <row r="916" spans="1:14">
      <c r="A916" t="s">
        <v>1045</v>
      </c>
      <c r="B916" t="s">
        <v>175</v>
      </c>
      <c r="C916" t="s">
        <v>40</v>
      </c>
      <c r="D916" t="s">
        <v>29</v>
      </c>
      <c r="E916" s="1">
        <v>46243</v>
      </c>
      <c r="F916">
        <v>559</v>
      </c>
      <c r="G916" t="s">
        <v>31</v>
      </c>
      <c r="H916">
        <v>250</v>
      </c>
      <c r="I916">
        <v>152</v>
      </c>
      <c r="J916">
        <v>644923.66</v>
      </c>
      <c r="K916">
        <v>732303.4</v>
      </c>
      <c r="L916">
        <f t="shared" si="42"/>
        <v>-87379.739999999991</v>
      </c>
      <c r="M916" t="str">
        <f t="shared" si="43"/>
        <v>2026-08</v>
      </c>
      <c r="N916">
        <f t="shared" si="44"/>
        <v>0.60799999999999998</v>
      </c>
    </row>
    <row r="917" spans="1:14">
      <c r="A917" t="s">
        <v>1046</v>
      </c>
      <c r="B917" t="s">
        <v>43</v>
      </c>
      <c r="C917" t="s">
        <v>44</v>
      </c>
      <c r="D917" t="s">
        <v>45</v>
      </c>
      <c r="E917" s="1">
        <v>46048</v>
      </c>
      <c r="F917">
        <v>289</v>
      </c>
      <c r="G917" t="s">
        <v>31</v>
      </c>
      <c r="H917">
        <v>300</v>
      </c>
      <c r="I917">
        <v>55</v>
      </c>
      <c r="J917">
        <v>807085.36</v>
      </c>
      <c r="K917">
        <v>348444.55</v>
      </c>
      <c r="L917">
        <f t="shared" si="42"/>
        <v>458640.81</v>
      </c>
      <c r="M917" t="str">
        <f t="shared" si="43"/>
        <v>2026-01</v>
      </c>
      <c r="N917">
        <f t="shared" si="44"/>
        <v>0.18333333333333332</v>
      </c>
    </row>
    <row r="918" spans="1:14">
      <c r="A918" t="s">
        <v>1047</v>
      </c>
      <c r="B918" t="s">
        <v>506</v>
      </c>
      <c r="C918" t="s">
        <v>55</v>
      </c>
      <c r="D918" t="s">
        <v>34</v>
      </c>
      <c r="E918" s="1">
        <v>46109</v>
      </c>
      <c r="F918">
        <v>168</v>
      </c>
      <c r="G918" t="s">
        <v>31</v>
      </c>
      <c r="H918">
        <v>150</v>
      </c>
      <c r="I918">
        <v>59</v>
      </c>
      <c r="J918">
        <v>753608.79</v>
      </c>
      <c r="K918">
        <v>212997.11</v>
      </c>
      <c r="L918">
        <f t="shared" si="42"/>
        <v>540611.68000000005</v>
      </c>
      <c r="M918" t="str">
        <f t="shared" si="43"/>
        <v>2026-03</v>
      </c>
      <c r="N918">
        <f t="shared" si="44"/>
        <v>0.39333333333333331</v>
      </c>
    </row>
    <row r="919" spans="1:14">
      <c r="A919" t="s">
        <v>1048</v>
      </c>
      <c r="B919" t="s">
        <v>220</v>
      </c>
      <c r="C919" t="s">
        <v>34</v>
      </c>
      <c r="D919" t="s">
        <v>49</v>
      </c>
      <c r="E919" s="1">
        <v>46095</v>
      </c>
      <c r="F919">
        <v>226</v>
      </c>
      <c r="G919" t="s">
        <v>35</v>
      </c>
      <c r="H919">
        <v>180</v>
      </c>
      <c r="I919">
        <v>52</v>
      </c>
      <c r="J919">
        <v>386182.69</v>
      </c>
      <c r="K919">
        <v>270069.87</v>
      </c>
      <c r="L919">
        <f t="shared" si="42"/>
        <v>116112.82</v>
      </c>
      <c r="M919" t="str">
        <f t="shared" si="43"/>
        <v>2026-03</v>
      </c>
      <c r="N919">
        <f t="shared" si="44"/>
        <v>0.28888888888888886</v>
      </c>
    </row>
    <row r="920" spans="1:14">
      <c r="A920" t="s">
        <v>1049</v>
      </c>
      <c r="B920" t="s">
        <v>364</v>
      </c>
      <c r="C920" t="s">
        <v>69</v>
      </c>
      <c r="D920" t="s">
        <v>49</v>
      </c>
      <c r="E920" s="1">
        <v>46206</v>
      </c>
      <c r="F920">
        <v>244</v>
      </c>
      <c r="G920" t="s">
        <v>31</v>
      </c>
      <c r="H920">
        <v>180</v>
      </c>
      <c r="I920">
        <v>100</v>
      </c>
      <c r="J920">
        <v>854124.44</v>
      </c>
      <c r="K920">
        <v>367487.16</v>
      </c>
      <c r="L920">
        <f t="shared" si="42"/>
        <v>486637.27999999997</v>
      </c>
      <c r="M920" t="str">
        <f t="shared" si="43"/>
        <v>2026-07</v>
      </c>
      <c r="N920">
        <f t="shared" si="44"/>
        <v>0.55555555555555558</v>
      </c>
    </row>
    <row r="921" spans="1:14">
      <c r="A921" t="s">
        <v>1050</v>
      </c>
      <c r="B921" t="s">
        <v>107</v>
      </c>
      <c r="C921" t="s">
        <v>30</v>
      </c>
      <c r="D921" t="s">
        <v>45</v>
      </c>
      <c r="E921" s="1">
        <v>46179</v>
      </c>
      <c r="F921">
        <v>128</v>
      </c>
      <c r="G921" t="s">
        <v>46</v>
      </c>
      <c r="H921">
        <v>150</v>
      </c>
      <c r="I921">
        <v>107</v>
      </c>
      <c r="J921">
        <v>1394307.9</v>
      </c>
      <c r="K921">
        <v>211984.02</v>
      </c>
      <c r="L921">
        <f t="shared" si="42"/>
        <v>1182323.8799999999</v>
      </c>
      <c r="M921" t="str">
        <f t="shared" si="43"/>
        <v>2026-06</v>
      </c>
      <c r="N921">
        <f t="shared" si="44"/>
        <v>0.71333333333333337</v>
      </c>
    </row>
    <row r="922" spans="1:14">
      <c r="A922" t="s">
        <v>1051</v>
      </c>
      <c r="B922" t="s">
        <v>307</v>
      </c>
      <c r="C922" t="s">
        <v>40</v>
      </c>
      <c r="D922" t="s">
        <v>45</v>
      </c>
      <c r="E922" s="1">
        <v>46276</v>
      </c>
      <c r="F922">
        <v>534</v>
      </c>
      <c r="G922" t="s">
        <v>31</v>
      </c>
      <c r="H922">
        <v>180</v>
      </c>
      <c r="I922">
        <v>147</v>
      </c>
      <c r="J922">
        <v>1481965.37</v>
      </c>
      <c r="K922">
        <v>468407.99</v>
      </c>
      <c r="L922">
        <f t="shared" si="42"/>
        <v>1013557.3800000001</v>
      </c>
      <c r="M922" t="str">
        <f t="shared" si="43"/>
        <v>2026-09</v>
      </c>
      <c r="N922">
        <f t="shared" si="44"/>
        <v>0.81666666666666665</v>
      </c>
    </row>
    <row r="923" spans="1:14">
      <c r="A923" t="s">
        <v>1052</v>
      </c>
      <c r="B923" t="s">
        <v>75</v>
      </c>
      <c r="C923" t="s">
        <v>55</v>
      </c>
      <c r="D923" t="s">
        <v>30</v>
      </c>
      <c r="E923" s="1">
        <v>46238</v>
      </c>
      <c r="F923">
        <v>528</v>
      </c>
      <c r="G923" t="s">
        <v>41</v>
      </c>
      <c r="H923">
        <v>180</v>
      </c>
      <c r="I923">
        <v>104</v>
      </c>
      <c r="J923">
        <v>1110173.5</v>
      </c>
      <c r="K923">
        <v>378836.22</v>
      </c>
      <c r="L923">
        <f t="shared" si="42"/>
        <v>731337.28</v>
      </c>
      <c r="M923" t="str">
        <f t="shared" si="43"/>
        <v>2026-08</v>
      </c>
      <c r="N923">
        <f t="shared" si="44"/>
        <v>0.57777777777777772</v>
      </c>
    </row>
    <row r="924" spans="1:14">
      <c r="A924" t="s">
        <v>1053</v>
      </c>
      <c r="B924" t="s">
        <v>414</v>
      </c>
      <c r="C924" t="s">
        <v>40</v>
      </c>
      <c r="D924" t="s">
        <v>52</v>
      </c>
      <c r="E924" s="1">
        <v>46087</v>
      </c>
      <c r="F924">
        <v>68</v>
      </c>
      <c r="G924" t="s">
        <v>35</v>
      </c>
      <c r="H924">
        <v>180</v>
      </c>
      <c r="I924">
        <v>75</v>
      </c>
      <c r="J924">
        <v>1072132.3799999999</v>
      </c>
      <c r="K924">
        <v>152518.04999999999</v>
      </c>
      <c r="L924">
        <f t="shared" si="42"/>
        <v>919614.32999999984</v>
      </c>
      <c r="M924" t="str">
        <f t="shared" si="43"/>
        <v>2026-03</v>
      </c>
      <c r="N924">
        <f t="shared" si="44"/>
        <v>0.41666666666666669</v>
      </c>
    </row>
    <row r="925" spans="1:14">
      <c r="A925" t="s">
        <v>1054</v>
      </c>
      <c r="B925" t="s">
        <v>43</v>
      </c>
      <c r="C925" t="s">
        <v>44</v>
      </c>
      <c r="D925" t="s">
        <v>45</v>
      </c>
      <c r="E925" s="1">
        <v>46034</v>
      </c>
      <c r="F925">
        <v>89</v>
      </c>
      <c r="G925" t="s">
        <v>41</v>
      </c>
      <c r="H925">
        <v>180</v>
      </c>
      <c r="I925">
        <v>134</v>
      </c>
      <c r="J925">
        <v>1324912.28</v>
      </c>
      <c r="K925">
        <v>187671.85</v>
      </c>
      <c r="L925">
        <f t="shared" si="42"/>
        <v>1137240.43</v>
      </c>
      <c r="M925" t="str">
        <f t="shared" si="43"/>
        <v>2026-01</v>
      </c>
      <c r="N925">
        <f t="shared" si="44"/>
        <v>0.74444444444444446</v>
      </c>
    </row>
    <row r="926" spans="1:14">
      <c r="A926" t="s">
        <v>1055</v>
      </c>
      <c r="B926" t="s">
        <v>137</v>
      </c>
      <c r="C926" t="s">
        <v>69</v>
      </c>
      <c r="D926" t="s">
        <v>34</v>
      </c>
      <c r="E926" s="1">
        <v>46168</v>
      </c>
      <c r="F926">
        <v>500</v>
      </c>
      <c r="G926" t="s">
        <v>31</v>
      </c>
      <c r="H926">
        <v>150</v>
      </c>
      <c r="I926">
        <v>109</v>
      </c>
      <c r="J926">
        <v>463757.23</v>
      </c>
      <c r="K926">
        <v>539371.32999999996</v>
      </c>
      <c r="L926">
        <f t="shared" si="42"/>
        <v>-75614.099999999977</v>
      </c>
      <c r="M926" t="str">
        <f t="shared" si="43"/>
        <v>2026-05</v>
      </c>
      <c r="N926">
        <f t="shared" si="44"/>
        <v>0.72666666666666668</v>
      </c>
    </row>
    <row r="927" spans="1:14">
      <c r="A927" t="s">
        <v>1056</v>
      </c>
      <c r="B927" t="s">
        <v>357</v>
      </c>
      <c r="C927" t="s">
        <v>55</v>
      </c>
      <c r="D927" t="s">
        <v>52</v>
      </c>
      <c r="E927" s="1">
        <v>46045</v>
      </c>
      <c r="F927">
        <v>398</v>
      </c>
      <c r="G927" t="s">
        <v>41</v>
      </c>
      <c r="H927">
        <v>250</v>
      </c>
      <c r="I927">
        <v>159</v>
      </c>
      <c r="J927">
        <v>1243822.73</v>
      </c>
      <c r="K927">
        <v>484395.4</v>
      </c>
      <c r="L927">
        <f t="shared" si="42"/>
        <v>759427.33</v>
      </c>
      <c r="M927" t="str">
        <f t="shared" si="43"/>
        <v>2026-01</v>
      </c>
      <c r="N927">
        <f t="shared" si="44"/>
        <v>0.63600000000000001</v>
      </c>
    </row>
    <row r="928" spans="1:14">
      <c r="A928" t="s">
        <v>1057</v>
      </c>
      <c r="B928" t="s">
        <v>127</v>
      </c>
      <c r="C928" t="s">
        <v>40</v>
      </c>
      <c r="D928" t="s">
        <v>55</v>
      </c>
      <c r="E928" s="1">
        <v>46200</v>
      </c>
      <c r="F928">
        <v>207</v>
      </c>
      <c r="G928" t="s">
        <v>35</v>
      </c>
      <c r="H928">
        <v>250</v>
      </c>
      <c r="I928">
        <v>144</v>
      </c>
      <c r="J928">
        <v>589268.4</v>
      </c>
      <c r="K928">
        <v>261977.14</v>
      </c>
      <c r="L928">
        <f t="shared" si="42"/>
        <v>327291.26</v>
      </c>
      <c r="M928" t="str">
        <f t="shared" si="43"/>
        <v>2026-06</v>
      </c>
      <c r="N928">
        <f t="shared" si="44"/>
        <v>0.57599999999999996</v>
      </c>
    </row>
    <row r="929" spans="1:14">
      <c r="A929" t="s">
        <v>1058</v>
      </c>
      <c r="B929" t="s">
        <v>530</v>
      </c>
      <c r="C929" t="s">
        <v>34</v>
      </c>
      <c r="D929" t="s">
        <v>45</v>
      </c>
      <c r="E929" s="1">
        <v>46316</v>
      </c>
      <c r="F929">
        <v>195</v>
      </c>
      <c r="G929" t="s">
        <v>35</v>
      </c>
      <c r="H929">
        <v>150</v>
      </c>
      <c r="I929">
        <v>105</v>
      </c>
      <c r="J929">
        <v>1450214.01</v>
      </c>
      <c r="K929">
        <v>305789.90000000002</v>
      </c>
      <c r="L929">
        <f t="shared" si="42"/>
        <v>1144424.1099999999</v>
      </c>
      <c r="M929" t="str">
        <f t="shared" si="43"/>
        <v>2026-10</v>
      </c>
      <c r="N929">
        <f t="shared" si="44"/>
        <v>0.7</v>
      </c>
    </row>
    <row r="930" spans="1:14">
      <c r="A930" t="s">
        <v>1059</v>
      </c>
      <c r="B930" t="s">
        <v>81</v>
      </c>
      <c r="C930" t="s">
        <v>34</v>
      </c>
      <c r="D930" t="s">
        <v>69</v>
      </c>
      <c r="E930" s="1">
        <v>46067</v>
      </c>
      <c r="F930">
        <v>352</v>
      </c>
      <c r="G930" t="s">
        <v>46</v>
      </c>
      <c r="H930">
        <v>300</v>
      </c>
      <c r="I930">
        <v>258</v>
      </c>
      <c r="J930">
        <v>1767882.65</v>
      </c>
      <c r="K930">
        <v>381427.69</v>
      </c>
      <c r="L930">
        <f t="shared" si="42"/>
        <v>1386454.96</v>
      </c>
      <c r="M930" t="str">
        <f t="shared" si="43"/>
        <v>2026-02</v>
      </c>
      <c r="N930">
        <f t="shared" si="44"/>
        <v>0.86</v>
      </c>
    </row>
    <row r="931" spans="1:14">
      <c r="A931" t="s">
        <v>1060</v>
      </c>
      <c r="B931" t="s">
        <v>175</v>
      </c>
      <c r="C931" t="s">
        <v>40</v>
      </c>
      <c r="D931" t="s">
        <v>29</v>
      </c>
      <c r="E931" s="1">
        <v>46035</v>
      </c>
      <c r="F931">
        <v>502</v>
      </c>
      <c r="G931" t="s">
        <v>46</v>
      </c>
      <c r="H931">
        <v>300</v>
      </c>
      <c r="I931">
        <v>79</v>
      </c>
      <c r="J931">
        <v>814870.97</v>
      </c>
      <c r="K931">
        <v>433000.66</v>
      </c>
      <c r="L931">
        <f t="shared" si="42"/>
        <v>381870.31</v>
      </c>
      <c r="M931" t="str">
        <f t="shared" si="43"/>
        <v>2026-01</v>
      </c>
      <c r="N931">
        <f t="shared" si="44"/>
        <v>0.26333333333333331</v>
      </c>
    </row>
    <row r="932" spans="1:14">
      <c r="A932" t="s">
        <v>1061</v>
      </c>
      <c r="B932" t="s">
        <v>137</v>
      </c>
      <c r="C932" t="s">
        <v>69</v>
      </c>
      <c r="D932" t="s">
        <v>34</v>
      </c>
      <c r="E932" s="1">
        <v>46072</v>
      </c>
      <c r="F932">
        <v>91</v>
      </c>
      <c r="G932" t="s">
        <v>46</v>
      </c>
      <c r="H932">
        <v>250</v>
      </c>
      <c r="I932">
        <v>174</v>
      </c>
      <c r="J932">
        <v>2532456.5499999998</v>
      </c>
      <c r="K932">
        <v>172039.65</v>
      </c>
      <c r="L932">
        <f t="shared" si="42"/>
        <v>2360416.9</v>
      </c>
      <c r="M932" t="str">
        <f t="shared" si="43"/>
        <v>2026-02</v>
      </c>
      <c r="N932">
        <f t="shared" si="44"/>
        <v>0.69599999999999995</v>
      </c>
    </row>
    <row r="933" spans="1:14">
      <c r="A933" t="s">
        <v>1062</v>
      </c>
      <c r="B933" t="s">
        <v>186</v>
      </c>
      <c r="C933" t="s">
        <v>49</v>
      </c>
      <c r="D933" t="s">
        <v>30</v>
      </c>
      <c r="E933" s="1">
        <v>46050</v>
      </c>
      <c r="F933">
        <v>431</v>
      </c>
      <c r="G933" t="s">
        <v>35</v>
      </c>
      <c r="H933">
        <v>180</v>
      </c>
      <c r="I933">
        <v>138</v>
      </c>
      <c r="J933">
        <v>1237984.44</v>
      </c>
      <c r="K933">
        <v>307459.55</v>
      </c>
      <c r="L933">
        <f t="shared" si="42"/>
        <v>930524.8899999999</v>
      </c>
      <c r="M933" t="str">
        <f t="shared" si="43"/>
        <v>2026-01</v>
      </c>
      <c r="N933">
        <f t="shared" si="44"/>
        <v>0.76666666666666672</v>
      </c>
    </row>
    <row r="934" spans="1:14">
      <c r="A934" t="s">
        <v>1063</v>
      </c>
      <c r="B934" t="s">
        <v>506</v>
      </c>
      <c r="C934" t="s">
        <v>55</v>
      </c>
      <c r="D934" t="s">
        <v>34</v>
      </c>
      <c r="E934" s="1">
        <v>46086</v>
      </c>
      <c r="F934">
        <v>583</v>
      </c>
      <c r="G934" t="s">
        <v>46</v>
      </c>
      <c r="H934">
        <v>300</v>
      </c>
      <c r="I934">
        <v>223</v>
      </c>
      <c r="J934">
        <v>2320870.92</v>
      </c>
      <c r="K934">
        <v>606844.85</v>
      </c>
      <c r="L934">
        <f t="shared" si="42"/>
        <v>1714026.0699999998</v>
      </c>
      <c r="M934" t="str">
        <f t="shared" si="43"/>
        <v>2026-03</v>
      </c>
      <c r="N934">
        <f t="shared" si="44"/>
        <v>0.74333333333333329</v>
      </c>
    </row>
    <row r="935" spans="1:14">
      <c r="A935" t="s">
        <v>1064</v>
      </c>
      <c r="B935" t="s">
        <v>104</v>
      </c>
      <c r="C935" t="s">
        <v>34</v>
      </c>
      <c r="D935" t="s">
        <v>52</v>
      </c>
      <c r="E935" s="1">
        <v>46309</v>
      </c>
      <c r="F935">
        <v>228</v>
      </c>
      <c r="G935" t="s">
        <v>35</v>
      </c>
      <c r="H935">
        <v>250</v>
      </c>
      <c r="I935">
        <v>92</v>
      </c>
      <c r="J935">
        <v>907344.14</v>
      </c>
      <c r="K935">
        <v>381730.74</v>
      </c>
      <c r="L935">
        <f t="shared" si="42"/>
        <v>525613.4</v>
      </c>
      <c r="M935" t="str">
        <f t="shared" si="43"/>
        <v>2026-10</v>
      </c>
      <c r="N935">
        <f t="shared" si="44"/>
        <v>0.36799999999999999</v>
      </c>
    </row>
    <row r="936" spans="1:14">
      <c r="A936" t="s">
        <v>1065</v>
      </c>
      <c r="B936" t="s">
        <v>104</v>
      </c>
      <c r="C936" t="s">
        <v>34</v>
      </c>
      <c r="D936" t="s">
        <v>52</v>
      </c>
      <c r="E936" s="1">
        <v>46169</v>
      </c>
      <c r="F936">
        <v>226</v>
      </c>
      <c r="G936" t="s">
        <v>31</v>
      </c>
      <c r="H936">
        <v>180</v>
      </c>
      <c r="I936">
        <v>56</v>
      </c>
      <c r="J936">
        <v>501798.41</v>
      </c>
      <c r="K936">
        <v>297922.28999999998</v>
      </c>
      <c r="L936">
        <f t="shared" si="42"/>
        <v>203876.12</v>
      </c>
      <c r="M936" t="str">
        <f t="shared" si="43"/>
        <v>2026-05</v>
      </c>
      <c r="N936">
        <f t="shared" si="44"/>
        <v>0.31111111111111112</v>
      </c>
    </row>
    <row r="937" spans="1:14">
      <c r="A937" t="s">
        <v>1066</v>
      </c>
      <c r="B937" t="s">
        <v>299</v>
      </c>
      <c r="C937" t="s">
        <v>34</v>
      </c>
      <c r="D937" t="s">
        <v>44</v>
      </c>
      <c r="E937" s="1">
        <v>46267</v>
      </c>
      <c r="F937">
        <v>598</v>
      </c>
      <c r="G937" t="s">
        <v>41</v>
      </c>
      <c r="H937">
        <v>250</v>
      </c>
      <c r="I937">
        <v>225</v>
      </c>
      <c r="J937">
        <v>1374405.87</v>
      </c>
      <c r="K937">
        <v>453200.29</v>
      </c>
      <c r="L937">
        <f t="shared" si="42"/>
        <v>921205.58000000007</v>
      </c>
      <c r="M937" t="str">
        <f t="shared" si="43"/>
        <v>2026-09</v>
      </c>
      <c r="N937">
        <f t="shared" si="44"/>
        <v>0.9</v>
      </c>
    </row>
    <row r="938" spans="1:14">
      <c r="A938" t="s">
        <v>1067</v>
      </c>
      <c r="B938" t="s">
        <v>135</v>
      </c>
      <c r="C938" t="s">
        <v>30</v>
      </c>
      <c r="D938" t="s">
        <v>49</v>
      </c>
      <c r="E938" s="1">
        <v>46285</v>
      </c>
      <c r="F938">
        <v>151</v>
      </c>
      <c r="G938" t="s">
        <v>31</v>
      </c>
      <c r="H938">
        <v>250</v>
      </c>
      <c r="I938">
        <v>133</v>
      </c>
      <c r="J938">
        <v>1304707.46</v>
      </c>
      <c r="K938">
        <v>300990.34000000003</v>
      </c>
      <c r="L938">
        <f t="shared" si="42"/>
        <v>1003717.1199999999</v>
      </c>
      <c r="M938" t="str">
        <f t="shared" si="43"/>
        <v>2026-09</v>
      </c>
      <c r="N938">
        <f t="shared" si="44"/>
        <v>0.53200000000000003</v>
      </c>
    </row>
    <row r="939" spans="1:14">
      <c r="A939" t="s">
        <v>1068</v>
      </c>
      <c r="B939" t="s">
        <v>66</v>
      </c>
      <c r="C939" t="s">
        <v>49</v>
      </c>
      <c r="D939" t="s">
        <v>45</v>
      </c>
      <c r="E939" s="1">
        <v>46084</v>
      </c>
      <c r="F939">
        <v>488</v>
      </c>
      <c r="G939" t="s">
        <v>46</v>
      </c>
      <c r="H939">
        <v>300</v>
      </c>
      <c r="I939">
        <v>109</v>
      </c>
      <c r="J939">
        <v>1275839.06</v>
      </c>
      <c r="K939">
        <v>417347.8</v>
      </c>
      <c r="L939">
        <f t="shared" si="42"/>
        <v>858491.26</v>
      </c>
      <c r="M939" t="str">
        <f t="shared" si="43"/>
        <v>2026-03</v>
      </c>
      <c r="N939">
        <f t="shared" si="44"/>
        <v>0.36333333333333334</v>
      </c>
    </row>
    <row r="940" spans="1:14">
      <c r="A940" t="s">
        <v>1069</v>
      </c>
      <c r="B940" t="s">
        <v>184</v>
      </c>
      <c r="C940" t="s">
        <v>29</v>
      </c>
      <c r="D940" t="s">
        <v>44</v>
      </c>
      <c r="E940" s="1">
        <v>46026</v>
      </c>
      <c r="F940">
        <v>533</v>
      </c>
      <c r="G940" t="s">
        <v>35</v>
      </c>
      <c r="H940">
        <v>180</v>
      </c>
      <c r="I940">
        <v>180</v>
      </c>
      <c r="J940">
        <v>898017.87</v>
      </c>
      <c r="K940">
        <v>722900.85</v>
      </c>
      <c r="L940">
        <f t="shared" si="42"/>
        <v>175117.02000000002</v>
      </c>
      <c r="M940" t="str">
        <f t="shared" si="43"/>
        <v>2026-01</v>
      </c>
      <c r="N940">
        <f t="shared" si="44"/>
        <v>1</v>
      </c>
    </row>
    <row r="941" spans="1:14">
      <c r="A941" t="s">
        <v>1070</v>
      </c>
      <c r="B941" t="s">
        <v>364</v>
      </c>
      <c r="C941" t="s">
        <v>69</v>
      </c>
      <c r="D941" t="s">
        <v>49</v>
      </c>
      <c r="E941" s="1">
        <v>46252</v>
      </c>
      <c r="F941">
        <v>429</v>
      </c>
      <c r="G941" t="s">
        <v>46</v>
      </c>
      <c r="H941">
        <v>150</v>
      </c>
      <c r="I941">
        <v>75</v>
      </c>
      <c r="J941">
        <v>443319.48</v>
      </c>
      <c r="K941">
        <v>395547.28</v>
      </c>
      <c r="L941">
        <f t="shared" si="42"/>
        <v>47772.199999999953</v>
      </c>
      <c r="M941" t="str">
        <f t="shared" si="43"/>
        <v>2026-08</v>
      </c>
      <c r="N941">
        <f t="shared" si="44"/>
        <v>0.5</v>
      </c>
    </row>
    <row r="942" spans="1:14">
      <c r="A942" t="s">
        <v>1071</v>
      </c>
      <c r="B942" t="s">
        <v>169</v>
      </c>
      <c r="C942" t="s">
        <v>34</v>
      </c>
      <c r="D942" t="s">
        <v>40</v>
      </c>
      <c r="E942" s="1">
        <v>46298</v>
      </c>
      <c r="F942">
        <v>133</v>
      </c>
      <c r="G942" t="s">
        <v>46</v>
      </c>
      <c r="H942">
        <v>250</v>
      </c>
      <c r="I942">
        <v>83</v>
      </c>
      <c r="J942">
        <v>413878.63</v>
      </c>
      <c r="K942">
        <v>259589.05</v>
      </c>
      <c r="L942">
        <f t="shared" si="42"/>
        <v>154289.58000000002</v>
      </c>
      <c r="M942" t="str">
        <f t="shared" si="43"/>
        <v>2026-10</v>
      </c>
      <c r="N942">
        <f t="shared" si="44"/>
        <v>0.33200000000000002</v>
      </c>
    </row>
    <row r="943" spans="1:14">
      <c r="A943" t="s">
        <v>1072</v>
      </c>
      <c r="B943" t="s">
        <v>414</v>
      </c>
      <c r="C943" t="s">
        <v>40</v>
      </c>
      <c r="D943" t="s">
        <v>52</v>
      </c>
      <c r="E943" s="1">
        <v>46291</v>
      </c>
      <c r="F943">
        <v>588</v>
      </c>
      <c r="G943" t="s">
        <v>41</v>
      </c>
      <c r="H943">
        <v>150</v>
      </c>
      <c r="I943">
        <v>111</v>
      </c>
      <c r="J943">
        <v>1147274.76</v>
      </c>
      <c r="K943">
        <v>387306.81</v>
      </c>
      <c r="L943">
        <f t="shared" si="42"/>
        <v>759967.95</v>
      </c>
      <c r="M943" t="str">
        <f t="shared" si="43"/>
        <v>2026-09</v>
      </c>
      <c r="N943">
        <f t="shared" si="44"/>
        <v>0.74</v>
      </c>
    </row>
    <row r="944" spans="1:14">
      <c r="A944" t="s">
        <v>1073</v>
      </c>
      <c r="B944" t="s">
        <v>379</v>
      </c>
      <c r="C944" t="s">
        <v>44</v>
      </c>
      <c r="D944" t="s">
        <v>30</v>
      </c>
      <c r="E944" s="1">
        <v>46191</v>
      </c>
      <c r="F944">
        <v>208</v>
      </c>
      <c r="G944" t="s">
        <v>41</v>
      </c>
      <c r="H944">
        <v>300</v>
      </c>
      <c r="I944">
        <v>263</v>
      </c>
      <c r="J944">
        <v>3069674.57</v>
      </c>
      <c r="K944">
        <v>300788.71999999997</v>
      </c>
      <c r="L944">
        <f t="shared" si="42"/>
        <v>2768885.8499999996</v>
      </c>
      <c r="M944" t="str">
        <f t="shared" si="43"/>
        <v>2026-06</v>
      </c>
      <c r="N944">
        <f t="shared" si="44"/>
        <v>0.87666666666666671</v>
      </c>
    </row>
    <row r="945" spans="1:14">
      <c r="A945" t="s">
        <v>1074</v>
      </c>
      <c r="B945" t="s">
        <v>81</v>
      </c>
      <c r="C945" t="s">
        <v>34</v>
      </c>
      <c r="D945" t="s">
        <v>69</v>
      </c>
      <c r="E945" s="1">
        <v>46075</v>
      </c>
      <c r="F945">
        <v>332</v>
      </c>
      <c r="G945" t="s">
        <v>46</v>
      </c>
      <c r="H945">
        <v>300</v>
      </c>
      <c r="I945">
        <v>262</v>
      </c>
      <c r="J945">
        <v>2068311.92</v>
      </c>
      <c r="K945">
        <v>479850.02</v>
      </c>
      <c r="L945">
        <f t="shared" si="42"/>
        <v>1588461.9</v>
      </c>
      <c r="M945" t="str">
        <f t="shared" si="43"/>
        <v>2026-02</v>
      </c>
      <c r="N945">
        <f t="shared" si="44"/>
        <v>0.87333333333333329</v>
      </c>
    </row>
    <row r="946" spans="1:14">
      <c r="A946" t="s">
        <v>1075</v>
      </c>
      <c r="B946" t="s">
        <v>28</v>
      </c>
      <c r="C946" t="s">
        <v>29</v>
      </c>
      <c r="D946" t="s">
        <v>30</v>
      </c>
      <c r="E946" s="1">
        <v>46176</v>
      </c>
      <c r="F946">
        <v>299</v>
      </c>
      <c r="G946" t="s">
        <v>46</v>
      </c>
      <c r="H946">
        <v>150</v>
      </c>
      <c r="I946">
        <v>86</v>
      </c>
      <c r="J946">
        <v>260253.99</v>
      </c>
      <c r="K946">
        <v>410514.62</v>
      </c>
      <c r="L946">
        <f t="shared" si="42"/>
        <v>-150260.63</v>
      </c>
      <c r="M946" t="str">
        <f t="shared" si="43"/>
        <v>2026-06</v>
      </c>
      <c r="N946">
        <f t="shared" si="44"/>
        <v>0.57333333333333336</v>
      </c>
    </row>
    <row r="947" spans="1:14">
      <c r="A947" t="s">
        <v>1076</v>
      </c>
      <c r="B947" t="s">
        <v>98</v>
      </c>
      <c r="C947" t="s">
        <v>40</v>
      </c>
      <c r="D947" t="s">
        <v>34</v>
      </c>
      <c r="E947" s="1">
        <v>46031</v>
      </c>
      <c r="F947">
        <v>518</v>
      </c>
      <c r="G947" t="s">
        <v>31</v>
      </c>
      <c r="H947">
        <v>150</v>
      </c>
      <c r="I947">
        <v>135</v>
      </c>
      <c r="J947">
        <v>542770.67000000004</v>
      </c>
      <c r="K947">
        <v>413768.78</v>
      </c>
      <c r="L947">
        <f t="shared" si="42"/>
        <v>129001.89000000001</v>
      </c>
      <c r="M947" t="str">
        <f t="shared" si="43"/>
        <v>2026-01</v>
      </c>
      <c r="N947">
        <f t="shared" si="44"/>
        <v>0.9</v>
      </c>
    </row>
    <row r="948" spans="1:14">
      <c r="A948" t="s">
        <v>1077</v>
      </c>
      <c r="B948" t="s">
        <v>169</v>
      </c>
      <c r="C948" t="s">
        <v>34</v>
      </c>
      <c r="D948" t="s">
        <v>40</v>
      </c>
      <c r="E948" s="1">
        <v>46225</v>
      </c>
      <c r="F948">
        <v>165</v>
      </c>
      <c r="G948" t="s">
        <v>41</v>
      </c>
      <c r="H948">
        <v>180</v>
      </c>
      <c r="I948">
        <v>111</v>
      </c>
      <c r="J948">
        <v>669238.35</v>
      </c>
      <c r="K948">
        <v>174643.49</v>
      </c>
      <c r="L948">
        <f t="shared" si="42"/>
        <v>494594.86</v>
      </c>
      <c r="M948" t="str">
        <f t="shared" si="43"/>
        <v>2026-07</v>
      </c>
      <c r="N948">
        <f t="shared" si="44"/>
        <v>0.6166666666666667</v>
      </c>
    </row>
    <row r="949" spans="1:14">
      <c r="A949" t="s">
        <v>1078</v>
      </c>
      <c r="B949" t="s">
        <v>407</v>
      </c>
      <c r="C949" t="s">
        <v>49</v>
      </c>
      <c r="D949" t="s">
        <v>29</v>
      </c>
      <c r="E949" s="1">
        <v>46269</v>
      </c>
      <c r="F949">
        <v>583</v>
      </c>
      <c r="G949" t="s">
        <v>31</v>
      </c>
      <c r="H949">
        <v>300</v>
      </c>
      <c r="I949">
        <v>129</v>
      </c>
      <c r="J949">
        <v>1588853.84</v>
      </c>
      <c r="K949">
        <v>684697.73</v>
      </c>
      <c r="L949">
        <f t="shared" si="42"/>
        <v>904156.1100000001</v>
      </c>
      <c r="M949" t="str">
        <f t="shared" si="43"/>
        <v>2026-09</v>
      </c>
      <c r="N949">
        <f t="shared" si="44"/>
        <v>0.43</v>
      </c>
    </row>
    <row r="950" spans="1:14">
      <c r="A950" t="s">
        <v>1079</v>
      </c>
      <c r="B950" t="s">
        <v>192</v>
      </c>
      <c r="C950" t="s">
        <v>49</v>
      </c>
      <c r="D950" t="s">
        <v>44</v>
      </c>
      <c r="E950" s="1">
        <v>46118</v>
      </c>
      <c r="F950">
        <v>542</v>
      </c>
      <c r="G950" t="s">
        <v>31</v>
      </c>
      <c r="H950">
        <v>150</v>
      </c>
      <c r="I950">
        <v>121</v>
      </c>
      <c r="J950">
        <v>1411374.7</v>
      </c>
      <c r="K950">
        <v>598858.79</v>
      </c>
      <c r="L950">
        <f t="shared" si="42"/>
        <v>812515.90999999992</v>
      </c>
      <c r="M950" t="str">
        <f t="shared" si="43"/>
        <v>2026-04</v>
      </c>
      <c r="N950">
        <f t="shared" si="44"/>
        <v>0.80666666666666664</v>
      </c>
    </row>
    <row r="951" spans="1:14">
      <c r="A951" t="s">
        <v>1080</v>
      </c>
      <c r="B951" t="s">
        <v>62</v>
      </c>
      <c r="C951" t="s">
        <v>52</v>
      </c>
      <c r="D951" t="s">
        <v>40</v>
      </c>
      <c r="E951" s="1">
        <v>46047</v>
      </c>
      <c r="F951">
        <v>511</v>
      </c>
      <c r="G951" t="s">
        <v>41</v>
      </c>
      <c r="H951">
        <v>250</v>
      </c>
      <c r="I951">
        <v>94</v>
      </c>
      <c r="J951">
        <v>1242871.92</v>
      </c>
      <c r="K951">
        <v>568027.06000000006</v>
      </c>
      <c r="L951">
        <f t="shared" si="42"/>
        <v>674844.85999999987</v>
      </c>
      <c r="M951" t="str">
        <f t="shared" si="43"/>
        <v>2026-01</v>
      </c>
      <c r="N951">
        <f t="shared" si="44"/>
        <v>0.376</v>
      </c>
    </row>
    <row r="952" spans="1:14">
      <c r="A952" t="s">
        <v>1081</v>
      </c>
      <c r="B952" t="s">
        <v>157</v>
      </c>
      <c r="C952" t="s">
        <v>45</v>
      </c>
      <c r="D952" t="s">
        <v>52</v>
      </c>
      <c r="E952" s="1">
        <v>46156</v>
      </c>
      <c r="F952">
        <v>586</v>
      </c>
      <c r="G952" t="s">
        <v>35</v>
      </c>
      <c r="H952">
        <v>300</v>
      </c>
      <c r="I952">
        <v>211</v>
      </c>
      <c r="J952">
        <v>1650080.52</v>
      </c>
      <c r="K952">
        <v>770779.92</v>
      </c>
      <c r="L952">
        <f t="shared" si="42"/>
        <v>879300.6</v>
      </c>
      <c r="M952" t="str">
        <f t="shared" si="43"/>
        <v>2026-05</v>
      </c>
      <c r="N952">
        <f t="shared" si="44"/>
        <v>0.70333333333333337</v>
      </c>
    </row>
    <row r="953" spans="1:14">
      <c r="A953" t="s">
        <v>1082</v>
      </c>
      <c r="B953" t="s">
        <v>167</v>
      </c>
      <c r="C953" t="s">
        <v>30</v>
      </c>
      <c r="D953" t="s">
        <v>69</v>
      </c>
      <c r="E953" s="1">
        <v>46264</v>
      </c>
      <c r="F953">
        <v>445</v>
      </c>
      <c r="G953" t="s">
        <v>31</v>
      </c>
      <c r="H953">
        <v>180</v>
      </c>
      <c r="I953">
        <v>80</v>
      </c>
      <c r="J953">
        <v>720930.53</v>
      </c>
      <c r="K953">
        <v>429301.46</v>
      </c>
      <c r="L953">
        <f t="shared" si="42"/>
        <v>291629.07</v>
      </c>
      <c r="M953" t="str">
        <f t="shared" si="43"/>
        <v>2026-08</v>
      </c>
      <c r="N953">
        <f t="shared" si="44"/>
        <v>0.44444444444444442</v>
      </c>
    </row>
    <row r="954" spans="1:14">
      <c r="A954" t="s">
        <v>1083</v>
      </c>
      <c r="B954" t="s">
        <v>430</v>
      </c>
      <c r="C954" t="s">
        <v>49</v>
      </c>
      <c r="D954" t="s">
        <v>52</v>
      </c>
      <c r="E954" s="1">
        <v>46058</v>
      </c>
      <c r="F954">
        <v>138</v>
      </c>
      <c r="G954" t="s">
        <v>31</v>
      </c>
      <c r="H954">
        <v>300</v>
      </c>
      <c r="I954">
        <v>71</v>
      </c>
      <c r="J954">
        <v>1022005.9</v>
      </c>
      <c r="K954">
        <v>251798.49</v>
      </c>
      <c r="L954">
        <f t="shared" si="42"/>
        <v>770207.41</v>
      </c>
      <c r="M954" t="str">
        <f t="shared" si="43"/>
        <v>2026-02</v>
      </c>
      <c r="N954">
        <f t="shared" si="44"/>
        <v>0.23666666666666666</v>
      </c>
    </row>
    <row r="955" spans="1:14">
      <c r="A955" t="s">
        <v>1084</v>
      </c>
      <c r="B955" t="s">
        <v>357</v>
      </c>
      <c r="C955" t="s">
        <v>55</v>
      </c>
      <c r="D955" t="s">
        <v>52</v>
      </c>
      <c r="E955" s="1">
        <v>46100</v>
      </c>
      <c r="F955">
        <v>139</v>
      </c>
      <c r="G955" t="s">
        <v>46</v>
      </c>
      <c r="H955">
        <v>180</v>
      </c>
      <c r="I955">
        <v>67</v>
      </c>
      <c r="J955">
        <v>701222.21</v>
      </c>
      <c r="K955">
        <v>216441.94</v>
      </c>
      <c r="L955">
        <f t="shared" si="42"/>
        <v>484780.26999999996</v>
      </c>
      <c r="M955" t="str">
        <f t="shared" si="43"/>
        <v>2026-03</v>
      </c>
      <c r="N955">
        <f t="shared" si="44"/>
        <v>0.37222222222222223</v>
      </c>
    </row>
    <row r="956" spans="1:14">
      <c r="A956" t="s">
        <v>1085</v>
      </c>
      <c r="B956" t="s">
        <v>92</v>
      </c>
      <c r="C956" t="s">
        <v>44</v>
      </c>
      <c r="D956" t="s">
        <v>69</v>
      </c>
      <c r="E956" s="1">
        <v>46154</v>
      </c>
      <c r="F956">
        <v>552</v>
      </c>
      <c r="G956" t="s">
        <v>31</v>
      </c>
      <c r="H956">
        <v>180</v>
      </c>
      <c r="I956">
        <v>142</v>
      </c>
      <c r="J956">
        <v>1373152.19</v>
      </c>
      <c r="K956">
        <v>522552.36</v>
      </c>
      <c r="L956">
        <f t="shared" si="42"/>
        <v>850599.83</v>
      </c>
      <c r="M956" t="str">
        <f t="shared" si="43"/>
        <v>2026-05</v>
      </c>
      <c r="N956">
        <f t="shared" si="44"/>
        <v>0.78888888888888886</v>
      </c>
    </row>
    <row r="957" spans="1:14">
      <c r="A957" t="s">
        <v>1086</v>
      </c>
      <c r="B957" t="s">
        <v>75</v>
      </c>
      <c r="C957" t="s">
        <v>55</v>
      </c>
      <c r="D957" t="s">
        <v>30</v>
      </c>
      <c r="E957" s="1">
        <v>46163</v>
      </c>
      <c r="F957">
        <v>505</v>
      </c>
      <c r="G957" t="s">
        <v>46</v>
      </c>
      <c r="H957">
        <v>150</v>
      </c>
      <c r="I957">
        <v>79</v>
      </c>
      <c r="J957">
        <v>891753.28</v>
      </c>
      <c r="K957">
        <v>625425.29</v>
      </c>
      <c r="L957">
        <f t="shared" si="42"/>
        <v>266327.99</v>
      </c>
      <c r="M957" t="str">
        <f t="shared" si="43"/>
        <v>2026-05</v>
      </c>
      <c r="N957">
        <f t="shared" si="44"/>
        <v>0.52666666666666662</v>
      </c>
    </row>
    <row r="958" spans="1:14">
      <c r="A958" t="s">
        <v>1087</v>
      </c>
      <c r="B958" t="s">
        <v>159</v>
      </c>
      <c r="C958" t="s">
        <v>55</v>
      </c>
      <c r="D958" t="s">
        <v>45</v>
      </c>
      <c r="E958" s="1">
        <v>46238</v>
      </c>
      <c r="F958">
        <v>138</v>
      </c>
      <c r="G958" t="s">
        <v>41</v>
      </c>
      <c r="H958">
        <v>180</v>
      </c>
      <c r="I958">
        <v>165</v>
      </c>
      <c r="J958">
        <v>1474619.33</v>
      </c>
      <c r="K958">
        <v>187977.48</v>
      </c>
      <c r="L958">
        <f t="shared" si="42"/>
        <v>1286641.8500000001</v>
      </c>
      <c r="M958" t="str">
        <f t="shared" si="43"/>
        <v>2026-08</v>
      </c>
      <c r="N958">
        <f t="shared" si="44"/>
        <v>0.91666666666666663</v>
      </c>
    </row>
    <row r="959" spans="1:14">
      <c r="A959" t="s">
        <v>1088</v>
      </c>
      <c r="B959" t="s">
        <v>116</v>
      </c>
      <c r="C959" t="s">
        <v>30</v>
      </c>
      <c r="D959" t="s">
        <v>44</v>
      </c>
      <c r="E959" s="1">
        <v>46035</v>
      </c>
      <c r="F959">
        <v>247</v>
      </c>
      <c r="G959" t="s">
        <v>35</v>
      </c>
      <c r="H959">
        <v>150</v>
      </c>
      <c r="I959">
        <v>131</v>
      </c>
      <c r="J959">
        <v>1367587.01</v>
      </c>
      <c r="K959">
        <v>291107.8</v>
      </c>
      <c r="L959">
        <f t="shared" si="42"/>
        <v>1076479.21</v>
      </c>
      <c r="M959" t="str">
        <f t="shared" si="43"/>
        <v>2026-01</v>
      </c>
      <c r="N959">
        <f t="shared" si="44"/>
        <v>0.87333333333333329</v>
      </c>
    </row>
    <row r="960" spans="1:14">
      <c r="A960" t="s">
        <v>1089</v>
      </c>
      <c r="B960" t="s">
        <v>60</v>
      </c>
      <c r="C960" t="s">
        <v>44</v>
      </c>
      <c r="D960" t="s">
        <v>34</v>
      </c>
      <c r="E960" s="1">
        <v>46053</v>
      </c>
      <c r="F960">
        <v>392</v>
      </c>
      <c r="G960" t="s">
        <v>35</v>
      </c>
      <c r="H960">
        <v>150</v>
      </c>
      <c r="I960">
        <v>84</v>
      </c>
      <c r="J960">
        <v>1182594.51</v>
      </c>
      <c r="K960">
        <v>491895.1</v>
      </c>
      <c r="L960">
        <f t="shared" si="42"/>
        <v>690699.41</v>
      </c>
      <c r="M960" t="str">
        <f t="shared" si="43"/>
        <v>2026-01</v>
      </c>
      <c r="N960">
        <f t="shared" si="44"/>
        <v>0.56000000000000005</v>
      </c>
    </row>
    <row r="961" spans="1:14">
      <c r="A961" t="s">
        <v>1090</v>
      </c>
      <c r="B961" t="s">
        <v>379</v>
      </c>
      <c r="C961" t="s">
        <v>44</v>
      </c>
      <c r="D961" t="s">
        <v>30</v>
      </c>
      <c r="E961" s="1">
        <v>46054</v>
      </c>
      <c r="F961">
        <v>152</v>
      </c>
      <c r="G961" t="s">
        <v>31</v>
      </c>
      <c r="H961">
        <v>180</v>
      </c>
      <c r="I961">
        <v>134</v>
      </c>
      <c r="J961">
        <v>1353019.7</v>
      </c>
      <c r="K961">
        <v>257324.12</v>
      </c>
      <c r="L961">
        <f t="shared" si="42"/>
        <v>1095695.58</v>
      </c>
      <c r="M961" t="str">
        <f t="shared" si="43"/>
        <v>2026-02</v>
      </c>
      <c r="N961">
        <f t="shared" si="44"/>
        <v>0.74444444444444446</v>
      </c>
    </row>
    <row r="962" spans="1:14">
      <c r="A962" t="s">
        <v>1091</v>
      </c>
      <c r="B962" t="s">
        <v>260</v>
      </c>
      <c r="C962" t="s">
        <v>69</v>
      </c>
      <c r="D962" t="s">
        <v>29</v>
      </c>
      <c r="E962" s="1">
        <v>46217</v>
      </c>
      <c r="F962">
        <v>70</v>
      </c>
      <c r="G962" t="s">
        <v>46</v>
      </c>
      <c r="H962">
        <v>250</v>
      </c>
      <c r="I962">
        <v>212</v>
      </c>
      <c r="J962">
        <v>2940549.62</v>
      </c>
      <c r="K962">
        <v>208102.54</v>
      </c>
      <c r="L962">
        <f t="shared" si="42"/>
        <v>2732447.08</v>
      </c>
      <c r="M962" t="str">
        <f t="shared" si="43"/>
        <v>2026-07</v>
      </c>
      <c r="N962">
        <f t="shared" si="44"/>
        <v>0.84799999999999998</v>
      </c>
    </row>
    <row r="963" spans="1:14">
      <c r="A963" t="s">
        <v>1092</v>
      </c>
      <c r="B963" t="s">
        <v>342</v>
      </c>
      <c r="C963" t="s">
        <v>30</v>
      </c>
      <c r="D963" t="s">
        <v>55</v>
      </c>
      <c r="E963" s="1">
        <v>46219</v>
      </c>
      <c r="F963">
        <v>287</v>
      </c>
      <c r="G963" t="s">
        <v>46</v>
      </c>
      <c r="H963">
        <v>180</v>
      </c>
      <c r="I963">
        <v>126</v>
      </c>
      <c r="J963">
        <v>1169792.67</v>
      </c>
      <c r="K963">
        <v>331011.31</v>
      </c>
      <c r="L963">
        <f t="shared" ref="L963:L1001" si="45">J963-K963</f>
        <v>838781.35999999987</v>
      </c>
      <c r="M963" t="str">
        <f t="shared" ref="M963:M1001" si="46">TEXT(E963,"YYYY-MM")</f>
        <v>2026-07</v>
      </c>
      <c r="N963">
        <f t="shared" ref="N963:N1001" si="47">I963/H963</f>
        <v>0.7</v>
      </c>
    </row>
    <row r="964" spans="1:14">
      <c r="A964" t="s">
        <v>1093</v>
      </c>
      <c r="B964" t="s">
        <v>256</v>
      </c>
      <c r="C964" t="s">
        <v>45</v>
      </c>
      <c r="D964" t="s">
        <v>44</v>
      </c>
      <c r="E964" s="1">
        <v>46044</v>
      </c>
      <c r="F964">
        <v>526</v>
      </c>
      <c r="G964" t="s">
        <v>41</v>
      </c>
      <c r="H964">
        <v>300</v>
      </c>
      <c r="I964">
        <v>213</v>
      </c>
      <c r="J964">
        <v>2530821.85</v>
      </c>
      <c r="K964">
        <v>578000.99</v>
      </c>
      <c r="L964">
        <f t="shared" si="45"/>
        <v>1952820.86</v>
      </c>
      <c r="M964" t="str">
        <f t="shared" si="46"/>
        <v>2026-01</v>
      </c>
      <c r="N964">
        <f t="shared" si="47"/>
        <v>0.71</v>
      </c>
    </row>
    <row r="965" spans="1:14">
      <c r="A965" t="s">
        <v>1094</v>
      </c>
      <c r="B965" t="s">
        <v>299</v>
      </c>
      <c r="C965" t="s">
        <v>34</v>
      </c>
      <c r="D965" t="s">
        <v>44</v>
      </c>
      <c r="E965" s="1">
        <v>46299</v>
      </c>
      <c r="F965">
        <v>309</v>
      </c>
      <c r="G965" t="s">
        <v>46</v>
      </c>
      <c r="H965">
        <v>250</v>
      </c>
      <c r="I965">
        <v>89</v>
      </c>
      <c r="J965">
        <v>1234712.08</v>
      </c>
      <c r="K965">
        <v>307776.15000000002</v>
      </c>
      <c r="L965">
        <f t="shared" si="45"/>
        <v>926935.93</v>
      </c>
      <c r="M965" t="str">
        <f t="shared" si="46"/>
        <v>2026-10</v>
      </c>
      <c r="N965">
        <f t="shared" si="47"/>
        <v>0.35599999999999998</v>
      </c>
    </row>
    <row r="966" spans="1:14">
      <c r="A966" t="s">
        <v>1095</v>
      </c>
      <c r="B966" t="s">
        <v>90</v>
      </c>
      <c r="C966" t="s">
        <v>40</v>
      </c>
      <c r="D966" t="s">
        <v>30</v>
      </c>
      <c r="E966" s="1">
        <v>46287</v>
      </c>
      <c r="F966">
        <v>543</v>
      </c>
      <c r="G966" t="s">
        <v>41</v>
      </c>
      <c r="H966">
        <v>150</v>
      </c>
      <c r="I966">
        <v>56</v>
      </c>
      <c r="J966">
        <v>409547.06</v>
      </c>
      <c r="K966">
        <v>698741.52</v>
      </c>
      <c r="L966">
        <f t="shared" si="45"/>
        <v>-289194.46000000002</v>
      </c>
      <c r="M966" t="str">
        <f t="shared" si="46"/>
        <v>2026-09</v>
      </c>
      <c r="N966">
        <f t="shared" si="47"/>
        <v>0.37333333333333335</v>
      </c>
    </row>
    <row r="967" spans="1:14">
      <c r="A967" t="s">
        <v>1096</v>
      </c>
      <c r="B967" t="s">
        <v>96</v>
      </c>
      <c r="C967" t="s">
        <v>69</v>
      </c>
      <c r="D967" t="s">
        <v>30</v>
      </c>
      <c r="E967" s="1">
        <v>46149</v>
      </c>
      <c r="F967">
        <v>250</v>
      </c>
      <c r="G967" t="s">
        <v>31</v>
      </c>
      <c r="H967">
        <v>250</v>
      </c>
      <c r="I967">
        <v>128</v>
      </c>
      <c r="J967">
        <v>599938.30000000005</v>
      </c>
      <c r="K967">
        <v>402195.79</v>
      </c>
      <c r="L967">
        <f t="shared" si="45"/>
        <v>197742.51000000007</v>
      </c>
      <c r="M967" t="str">
        <f t="shared" si="46"/>
        <v>2026-05</v>
      </c>
      <c r="N967">
        <f t="shared" si="47"/>
        <v>0.51200000000000001</v>
      </c>
    </row>
    <row r="968" spans="1:14">
      <c r="A968" t="s">
        <v>1097</v>
      </c>
      <c r="B968" t="s">
        <v>79</v>
      </c>
      <c r="C968" t="s">
        <v>52</v>
      </c>
      <c r="D968" t="s">
        <v>45</v>
      </c>
      <c r="E968" s="1">
        <v>46288</v>
      </c>
      <c r="F968">
        <v>306</v>
      </c>
      <c r="G968" t="s">
        <v>46</v>
      </c>
      <c r="H968">
        <v>300</v>
      </c>
      <c r="I968">
        <v>78</v>
      </c>
      <c r="J968">
        <v>1105665.56</v>
      </c>
      <c r="K968">
        <v>388225.59</v>
      </c>
      <c r="L968">
        <f t="shared" si="45"/>
        <v>717439.97</v>
      </c>
      <c r="M968" t="str">
        <f t="shared" si="46"/>
        <v>2026-09</v>
      </c>
      <c r="N968">
        <f t="shared" si="47"/>
        <v>0.26</v>
      </c>
    </row>
    <row r="969" spans="1:14">
      <c r="A969" t="s">
        <v>1098</v>
      </c>
      <c r="B969" t="s">
        <v>202</v>
      </c>
      <c r="C969" t="s">
        <v>29</v>
      </c>
      <c r="D969" t="s">
        <v>55</v>
      </c>
      <c r="E969" s="1">
        <v>46075</v>
      </c>
      <c r="F969">
        <v>189</v>
      </c>
      <c r="G969" t="s">
        <v>35</v>
      </c>
      <c r="H969">
        <v>150</v>
      </c>
      <c r="I969">
        <v>128</v>
      </c>
      <c r="J969">
        <v>1104639.05</v>
      </c>
      <c r="K969">
        <v>279458.13</v>
      </c>
      <c r="L969">
        <f t="shared" si="45"/>
        <v>825180.92</v>
      </c>
      <c r="M969" t="str">
        <f t="shared" si="46"/>
        <v>2026-02</v>
      </c>
      <c r="N969">
        <f t="shared" si="47"/>
        <v>0.85333333333333339</v>
      </c>
    </row>
    <row r="970" spans="1:14">
      <c r="A970" t="s">
        <v>1099</v>
      </c>
      <c r="B970" t="s">
        <v>175</v>
      </c>
      <c r="C970" t="s">
        <v>40</v>
      </c>
      <c r="D970" t="s">
        <v>29</v>
      </c>
      <c r="E970" s="1">
        <v>46242</v>
      </c>
      <c r="F970">
        <v>457</v>
      </c>
      <c r="G970" t="s">
        <v>46</v>
      </c>
      <c r="H970">
        <v>180</v>
      </c>
      <c r="I970">
        <v>101</v>
      </c>
      <c r="J970">
        <v>617181.29</v>
      </c>
      <c r="K970">
        <v>357636.11</v>
      </c>
      <c r="L970">
        <f t="shared" si="45"/>
        <v>259545.18000000005</v>
      </c>
      <c r="M970" t="str">
        <f t="shared" si="46"/>
        <v>2026-08</v>
      </c>
      <c r="N970">
        <f t="shared" si="47"/>
        <v>0.56111111111111112</v>
      </c>
    </row>
    <row r="971" spans="1:14">
      <c r="A971" t="s">
        <v>1100</v>
      </c>
      <c r="B971" t="s">
        <v>81</v>
      </c>
      <c r="C971" t="s">
        <v>34</v>
      </c>
      <c r="D971" t="s">
        <v>69</v>
      </c>
      <c r="E971" s="1">
        <v>46182</v>
      </c>
      <c r="F971">
        <v>323</v>
      </c>
      <c r="G971" t="s">
        <v>41</v>
      </c>
      <c r="H971">
        <v>180</v>
      </c>
      <c r="I971">
        <v>145</v>
      </c>
      <c r="J971">
        <v>1574041.4</v>
      </c>
      <c r="K971">
        <v>432897.5</v>
      </c>
      <c r="L971">
        <f t="shared" si="45"/>
        <v>1141143.8999999999</v>
      </c>
      <c r="M971" t="str">
        <f t="shared" si="46"/>
        <v>2026-06</v>
      </c>
      <c r="N971">
        <f t="shared" si="47"/>
        <v>0.80555555555555558</v>
      </c>
    </row>
    <row r="972" spans="1:14">
      <c r="A972" t="s">
        <v>1101</v>
      </c>
      <c r="B972" t="s">
        <v>120</v>
      </c>
      <c r="C972" t="s">
        <v>52</v>
      </c>
      <c r="D972" t="s">
        <v>34</v>
      </c>
      <c r="E972" s="1">
        <v>46093</v>
      </c>
      <c r="F972">
        <v>524</v>
      </c>
      <c r="G972" t="s">
        <v>35</v>
      </c>
      <c r="H972">
        <v>180</v>
      </c>
      <c r="I972">
        <v>174</v>
      </c>
      <c r="J972">
        <v>2219763.34</v>
      </c>
      <c r="K972">
        <v>364252.22</v>
      </c>
      <c r="L972">
        <f t="shared" si="45"/>
        <v>1855511.1199999999</v>
      </c>
      <c r="M972" t="str">
        <f t="shared" si="46"/>
        <v>2026-03</v>
      </c>
      <c r="N972">
        <f t="shared" si="47"/>
        <v>0.96666666666666667</v>
      </c>
    </row>
    <row r="973" spans="1:14">
      <c r="A973" t="s">
        <v>1102</v>
      </c>
      <c r="B973" t="s">
        <v>430</v>
      </c>
      <c r="C973" t="s">
        <v>49</v>
      </c>
      <c r="D973" t="s">
        <v>52</v>
      </c>
      <c r="E973" s="1">
        <v>46299</v>
      </c>
      <c r="F973">
        <v>511</v>
      </c>
      <c r="G973" t="s">
        <v>35</v>
      </c>
      <c r="H973">
        <v>250</v>
      </c>
      <c r="I973">
        <v>243</v>
      </c>
      <c r="J973">
        <v>861824.25</v>
      </c>
      <c r="K973">
        <v>487891.24</v>
      </c>
      <c r="L973">
        <f t="shared" si="45"/>
        <v>373933.01</v>
      </c>
      <c r="M973" t="str">
        <f t="shared" si="46"/>
        <v>2026-10</v>
      </c>
      <c r="N973">
        <f t="shared" si="47"/>
        <v>0.97199999999999998</v>
      </c>
    </row>
    <row r="974" spans="1:14">
      <c r="A974" t="s">
        <v>1103</v>
      </c>
      <c r="B974" t="s">
        <v>282</v>
      </c>
      <c r="C974" t="s">
        <v>52</v>
      </c>
      <c r="D974" t="s">
        <v>29</v>
      </c>
      <c r="E974" s="1">
        <v>46229</v>
      </c>
      <c r="F974">
        <v>324</v>
      </c>
      <c r="G974" t="s">
        <v>41</v>
      </c>
      <c r="H974">
        <v>250</v>
      </c>
      <c r="I974">
        <v>85</v>
      </c>
      <c r="J974">
        <v>734639.66</v>
      </c>
      <c r="K974">
        <v>461508.23</v>
      </c>
      <c r="L974">
        <f t="shared" si="45"/>
        <v>273131.43000000005</v>
      </c>
      <c r="M974" t="str">
        <f t="shared" si="46"/>
        <v>2026-07</v>
      </c>
      <c r="N974">
        <f t="shared" si="47"/>
        <v>0.34</v>
      </c>
    </row>
    <row r="975" spans="1:14">
      <c r="A975" t="s">
        <v>1104</v>
      </c>
      <c r="B975" t="s">
        <v>96</v>
      </c>
      <c r="C975" t="s">
        <v>69</v>
      </c>
      <c r="D975" t="s">
        <v>30</v>
      </c>
      <c r="E975" s="1">
        <v>46165</v>
      </c>
      <c r="F975">
        <v>510</v>
      </c>
      <c r="G975" t="s">
        <v>31</v>
      </c>
      <c r="H975">
        <v>250</v>
      </c>
      <c r="I975">
        <v>159</v>
      </c>
      <c r="J975">
        <v>2053521.54</v>
      </c>
      <c r="K975">
        <v>641090.19999999995</v>
      </c>
      <c r="L975">
        <f t="shared" si="45"/>
        <v>1412431.34</v>
      </c>
      <c r="M975" t="str">
        <f t="shared" si="46"/>
        <v>2026-05</v>
      </c>
      <c r="N975">
        <f t="shared" si="47"/>
        <v>0.63600000000000001</v>
      </c>
    </row>
    <row r="976" spans="1:14">
      <c r="A976" t="s">
        <v>1105</v>
      </c>
      <c r="B976" t="s">
        <v>37</v>
      </c>
      <c r="C976" t="s">
        <v>30</v>
      </c>
      <c r="D976" t="s">
        <v>29</v>
      </c>
      <c r="E976" s="1">
        <v>46311</v>
      </c>
      <c r="F976">
        <v>199</v>
      </c>
      <c r="G976" t="s">
        <v>41</v>
      </c>
      <c r="H976">
        <v>300</v>
      </c>
      <c r="I976">
        <v>62</v>
      </c>
      <c r="J976">
        <v>792887.7</v>
      </c>
      <c r="K976">
        <v>305674.18</v>
      </c>
      <c r="L976">
        <f t="shared" si="45"/>
        <v>487213.51999999996</v>
      </c>
      <c r="M976" t="str">
        <f t="shared" si="46"/>
        <v>2026-10</v>
      </c>
      <c r="N976">
        <f t="shared" si="47"/>
        <v>0.20666666666666667</v>
      </c>
    </row>
    <row r="977" spans="1:14">
      <c r="A977" t="s">
        <v>1106</v>
      </c>
      <c r="B977" t="s">
        <v>109</v>
      </c>
      <c r="C977" t="s">
        <v>30</v>
      </c>
      <c r="D977" t="s">
        <v>52</v>
      </c>
      <c r="E977" s="1">
        <v>46267</v>
      </c>
      <c r="F977">
        <v>132</v>
      </c>
      <c r="G977" t="s">
        <v>41</v>
      </c>
      <c r="H977">
        <v>300</v>
      </c>
      <c r="I977">
        <v>235</v>
      </c>
      <c r="J977">
        <v>2138539.0299999998</v>
      </c>
      <c r="K977">
        <v>253931.74</v>
      </c>
      <c r="L977">
        <f t="shared" si="45"/>
        <v>1884607.2899999998</v>
      </c>
      <c r="M977" t="str">
        <f t="shared" si="46"/>
        <v>2026-09</v>
      </c>
      <c r="N977">
        <f t="shared" si="47"/>
        <v>0.78333333333333333</v>
      </c>
    </row>
    <row r="978" spans="1:14">
      <c r="A978" t="s">
        <v>1107</v>
      </c>
      <c r="B978" t="s">
        <v>159</v>
      </c>
      <c r="C978" t="s">
        <v>55</v>
      </c>
      <c r="D978" t="s">
        <v>45</v>
      </c>
      <c r="E978" s="1">
        <v>46112</v>
      </c>
      <c r="F978">
        <v>69</v>
      </c>
      <c r="G978" t="s">
        <v>31</v>
      </c>
      <c r="H978">
        <v>180</v>
      </c>
      <c r="I978">
        <v>119</v>
      </c>
      <c r="J978">
        <v>1702139.49</v>
      </c>
      <c r="K978">
        <v>134941.91</v>
      </c>
      <c r="L978">
        <f t="shared" si="45"/>
        <v>1567197.58</v>
      </c>
      <c r="M978" t="str">
        <f t="shared" si="46"/>
        <v>2026-03</v>
      </c>
      <c r="N978">
        <f t="shared" si="47"/>
        <v>0.66111111111111109</v>
      </c>
    </row>
    <row r="979" spans="1:14">
      <c r="A979" t="s">
        <v>1108</v>
      </c>
      <c r="B979" t="s">
        <v>200</v>
      </c>
      <c r="C979" t="s">
        <v>69</v>
      </c>
      <c r="D979" t="s">
        <v>52</v>
      </c>
      <c r="E979" s="1">
        <v>46309</v>
      </c>
      <c r="F979">
        <v>450</v>
      </c>
      <c r="G979" t="s">
        <v>41</v>
      </c>
      <c r="H979">
        <v>150</v>
      </c>
      <c r="I979">
        <v>65</v>
      </c>
      <c r="J979">
        <v>670414</v>
      </c>
      <c r="K979">
        <v>415867.15</v>
      </c>
      <c r="L979">
        <f t="shared" si="45"/>
        <v>254546.84999999998</v>
      </c>
      <c r="M979" t="str">
        <f t="shared" si="46"/>
        <v>2026-10</v>
      </c>
      <c r="N979">
        <f t="shared" si="47"/>
        <v>0.43333333333333335</v>
      </c>
    </row>
    <row r="980" spans="1:14">
      <c r="A980" t="s">
        <v>1109</v>
      </c>
      <c r="B980" t="s">
        <v>149</v>
      </c>
      <c r="C980" t="s">
        <v>49</v>
      </c>
      <c r="D980" t="s">
        <v>69</v>
      </c>
      <c r="E980" s="1">
        <v>46218</v>
      </c>
      <c r="F980">
        <v>235</v>
      </c>
      <c r="G980" t="s">
        <v>31</v>
      </c>
      <c r="H980">
        <v>250</v>
      </c>
      <c r="I980">
        <v>159</v>
      </c>
      <c r="J980">
        <v>2069795.52</v>
      </c>
      <c r="K980">
        <v>367816.96000000002</v>
      </c>
      <c r="L980">
        <f t="shared" si="45"/>
        <v>1701978.56</v>
      </c>
      <c r="M980" t="str">
        <f t="shared" si="46"/>
        <v>2026-07</v>
      </c>
      <c r="N980">
        <f t="shared" si="47"/>
        <v>0.63600000000000001</v>
      </c>
    </row>
    <row r="981" spans="1:14">
      <c r="A981" t="s">
        <v>1110</v>
      </c>
      <c r="B981" t="s">
        <v>129</v>
      </c>
      <c r="C981" t="s">
        <v>45</v>
      </c>
      <c r="D981" t="s">
        <v>30</v>
      </c>
      <c r="E981" s="1">
        <v>46293</v>
      </c>
      <c r="F981">
        <v>403</v>
      </c>
      <c r="G981" t="s">
        <v>31</v>
      </c>
      <c r="H981">
        <v>250</v>
      </c>
      <c r="I981">
        <v>125</v>
      </c>
      <c r="J981">
        <v>1415200.36</v>
      </c>
      <c r="K981">
        <v>591787.23</v>
      </c>
      <c r="L981">
        <f t="shared" si="45"/>
        <v>823413.13000000012</v>
      </c>
      <c r="M981" t="str">
        <f t="shared" si="46"/>
        <v>2026-09</v>
      </c>
      <c r="N981">
        <f t="shared" si="47"/>
        <v>0.5</v>
      </c>
    </row>
    <row r="982" spans="1:14">
      <c r="A982" t="s">
        <v>1111</v>
      </c>
      <c r="B982" t="s">
        <v>96</v>
      </c>
      <c r="C982" t="s">
        <v>69</v>
      </c>
      <c r="D982" t="s">
        <v>30</v>
      </c>
      <c r="E982" s="1">
        <v>46268</v>
      </c>
      <c r="F982">
        <v>67</v>
      </c>
      <c r="G982" t="s">
        <v>35</v>
      </c>
      <c r="H982">
        <v>300</v>
      </c>
      <c r="I982">
        <v>260</v>
      </c>
      <c r="J982">
        <v>1062865.72</v>
      </c>
      <c r="K982">
        <v>214793.78</v>
      </c>
      <c r="L982">
        <f t="shared" si="45"/>
        <v>848071.94</v>
      </c>
      <c r="M982" t="str">
        <f t="shared" si="46"/>
        <v>2026-09</v>
      </c>
      <c r="N982">
        <f t="shared" si="47"/>
        <v>0.8666666666666667</v>
      </c>
    </row>
    <row r="983" spans="1:14">
      <c r="A983" t="s">
        <v>1112</v>
      </c>
      <c r="B983" t="s">
        <v>210</v>
      </c>
      <c r="C983" t="s">
        <v>55</v>
      </c>
      <c r="D983" t="s">
        <v>69</v>
      </c>
      <c r="E983" s="1">
        <v>46220</v>
      </c>
      <c r="F983">
        <v>106</v>
      </c>
      <c r="G983" t="s">
        <v>35</v>
      </c>
      <c r="H983">
        <v>150</v>
      </c>
      <c r="I983">
        <v>124</v>
      </c>
      <c r="J983">
        <v>1538053.79</v>
      </c>
      <c r="K983">
        <v>150396.46</v>
      </c>
      <c r="L983">
        <f t="shared" si="45"/>
        <v>1387657.33</v>
      </c>
      <c r="M983" t="str">
        <f t="shared" si="46"/>
        <v>2026-07</v>
      </c>
      <c r="N983">
        <f t="shared" si="47"/>
        <v>0.82666666666666666</v>
      </c>
    </row>
    <row r="984" spans="1:14">
      <c r="A984" t="s">
        <v>1113</v>
      </c>
      <c r="B984" t="s">
        <v>120</v>
      </c>
      <c r="C984" t="s">
        <v>52</v>
      </c>
      <c r="D984" t="s">
        <v>34</v>
      </c>
      <c r="E984" s="1">
        <v>46091</v>
      </c>
      <c r="F984">
        <v>90</v>
      </c>
      <c r="G984" t="s">
        <v>46</v>
      </c>
      <c r="H984">
        <v>250</v>
      </c>
      <c r="I984">
        <v>233</v>
      </c>
      <c r="J984">
        <v>1337413.02</v>
      </c>
      <c r="K984">
        <v>171562.99</v>
      </c>
      <c r="L984">
        <f t="shared" si="45"/>
        <v>1165850.03</v>
      </c>
      <c r="M984" t="str">
        <f t="shared" si="46"/>
        <v>2026-03</v>
      </c>
      <c r="N984">
        <f t="shared" si="47"/>
        <v>0.93200000000000005</v>
      </c>
    </row>
    <row r="985" spans="1:14">
      <c r="A985" t="s">
        <v>1114</v>
      </c>
      <c r="B985" t="s">
        <v>77</v>
      </c>
      <c r="C985" t="s">
        <v>45</v>
      </c>
      <c r="D985" t="s">
        <v>29</v>
      </c>
      <c r="E985" s="1">
        <v>46173</v>
      </c>
      <c r="F985">
        <v>424</v>
      </c>
      <c r="G985" t="s">
        <v>31</v>
      </c>
      <c r="H985">
        <v>150</v>
      </c>
      <c r="I985">
        <v>66</v>
      </c>
      <c r="J985">
        <v>239573.81</v>
      </c>
      <c r="K985">
        <v>413859.09</v>
      </c>
      <c r="L985">
        <f t="shared" si="45"/>
        <v>-174285.28000000003</v>
      </c>
      <c r="M985" t="str">
        <f t="shared" si="46"/>
        <v>2026-05</v>
      </c>
      <c r="N985">
        <f t="shared" si="47"/>
        <v>0.44</v>
      </c>
    </row>
    <row r="986" spans="1:14">
      <c r="A986" t="s">
        <v>1115</v>
      </c>
      <c r="B986" t="s">
        <v>147</v>
      </c>
      <c r="C986" t="s">
        <v>29</v>
      </c>
      <c r="D986" t="s">
        <v>49</v>
      </c>
      <c r="E986" s="1">
        <v>46222</v>
      </c>
      <c r="F986">
        <v>114</v>
      </c>
      <c r="G986" t="s">
        <v>46</v>
      </c>
      <c r="H986">
        <v>180</v>
      </c>
      <c r="I986">
        <v>151</v>
      </c>
      <c r="J986">
        <v>936914.42</v>
      </c>
      <c r="K986">
        <v>182123.51</v>
      </c>
      <c r="L986">
        <f t="shared" si="45"/>
        <v>754790.91</v>
      </c>
      <c r="M986" t="str">
        <f t="shared" si="46"/>
        <v>2026-07</v>
      </c>
      <c r="N986">
        <f t="shared" si="47"/>
        <v>0.83888888888888891</v>
      </c>
    </row>
    <row r="987" spans="1:14">
      <c r="A987" t="s">
        <v>1116</v>
      </c>
      <c r="B987" t="s">
        <v>135</v>
      </c>
      <c r="C987" t="s">
        <v>30</v>
      </c>
      <c r="D987" t="s">
        <v>49</v>
      </c>
      <c r="E987" s="1">
        <v>46261</v>
      </c>
      <c r="F987">
        <v>326</v>
      </c>
      <c r="G987" t="s">
        <v>46</v>
      </c>
      <c r="H987">
        <v>180</v>
      </c>
      <c r="I987">
        <v>177</v>
      </c>
      <c r="J987">
        <v>1124535.7</v>
      </c>
      <c r="K987">
        <v>305706.52</v>
      </c>
      <c r="L987">
        <f t="shared" si="45"/>
        <v>818829.17999999993</v>
      </c>
      <c r="M987" t="str">
        <f t="shared" si="46"/>
        <v>2026-08</v>
      </c>
      <c r="N987">
        <f t="shared" si="47"/>
        <v>0.98333333333333328</v>
      </c>
    </row>
    <row r="988" spans="1:14">
      <c r="A988" t="s">
        <v>1117</v>
      </c>
      <c r="B988" t="s">
        <v>96</v>
      </c>
      <c r="C988" t="s">
        <v>69</v>
      </c>
      <c r="D988" t="s">
        <v>30</v>
      </c>
      <c r="E988" s="1">
        <v>46065</v>
      </c>
      <c r="F988">
        <v>464</v>
      </c>
      <c r="G988" t="s">
        <v>31</v>
      </c>
      <c r="H988">
        <v>180</v>
      </c>
      <c r="I988">
        <v>95</v>
      </c>
      <c r="J988">
        <v>1256524.2</v>
      </c>
      <c r="K988">
        <v>501865.78</v>
      </c>
      <c r="L988">
        <f t="shared" si="45"/>
        <v>754658.41999999993</v>
      </c>
      <c r="M988" t="str">
        <f t="shared" si="46"/>
        <v>2026-02</v>
      </c>
      <c r="N988">
        <f t="shared" si="47"/>
        <v>0.52777777777777779</v>
      </c>
    </row>
    <row r="989" spans="1:14">
      <c r="A989" t="s">
        <v>1118</v>
      </c>
      <c r="B989" t="s">
        <v>94</v>
      </c>
      <c r="C989" t="s">
        <v>34</v>
      </c>
      <c r="D989" t="s">
        <v>30</v>
      </c>
      <c r="E989" s="1">
        <v>46271</v>
      </c>
      <c r="F989">
        <v>89</v>
      </c>
      <c r="G989" t="s">
        <v>31</v>
      </c>
      <c r="H989">
        <v>300</v>
      </c>
      <c r="I989">
        <v>162</v>
      </c>
      <c r="J989">
        <v>1547150.68</v>
      </c>
      <c r="K989">
        <v>215566.34</v>
      </c>
      <c r="L989">
        <f t="shared" si="45"/>
        <v>1331584.3399999999</v>
      </c>
      <c r="M989" t="str">
        <f t="shared" si="46"/>
        <v>2026-09</v>
      </c>
      <c r="N989">
        <f t="shared" si="47"/>
        <v>0.54</v>
      </c>
    </row>
    <row r="990" spans="1:14">
      <c r="A990" t="s">
        <v>1119</v>
      </c>
      <c r="B990" t="s">
        <v>184</v>
      </c>
      <c r="C990" t="s">
        <v>29</v>
      </c>
      <c r="D990" t="s">
        <v>44</v>
      </c>
      <c r="E990" s="1">
        <v>46261</v>
      </c>
      <c r="F990">
        <v>72</v>
      </c>
      <c r="G990" t="s">
        <v>46</v>
      </c>
      <c r="H990">
        <v>300</v>
      </c>
      <c r="I990">
        <v>221</v>
      </c>
      <c r="J990">
        <v>2424866.6800000002</v>
      </c>
      <c r="K990">
        <v>198390.25</v>
      </c>
      <c r="L990">
        <f t="shared" si="45"/>
        <v>2226476.4300000002</v>
      </c>
      <c r="M990" t="str">
        <f t="shared" si="46"/>
        <v>2026-08</v>
      </c>
      <c r="N990">
        <f t="shared" si="47"/>
        <v>0.73666666666666669</v>
      </c>
    </row>
    <row r="991" spans="1:14">
      <c r="A991" t="s">
        <v>1120</v>
      </c>
      <c r="B991" t="s">
        <v>205</v>
      </c>
      <c r="C991" t="s">
        <v>52</v>
      </c>
      <c r="D991" t="s">
        <v>44</v>
      </c>
      <c r="E991" s="1">
        <v>46298</v>
      </c>
      <c r="F991">
        <v>155</v>
      </c>
      <c r="G991" t="s">
        <v>46</v>
      </c>
      <c r="H991">
        <v>150</v>
      </c>
      <c r="I991">
        <v>81</v>
      </c>
      <c r="J991">
        <v>437136.12</v>
      </c>
      <c r="K991">
        <v>255280.35</v>
      </c>
      <c r="L991">
        <f t="shared" si="45"/>
        <v>181855.77</v>
      </c>
      <c r="M991" t="str">
        <f t="shared" si="46"/>
        <v>2026-10</v>
      </c>
      <c r="N991">
        <f t="shared" si="47"/>
        <v>0.54</v>
      </c>
    </row>
    <row r="992" spans="1:14">
      <c r="A992" t="s">
        <v>1121</v>
      </c>
      <c r="B992" t="s">
        <v>127</v>
      </c>
      <c r="C992" t="s">
        <v>40</v>
      </c>
      <c r="D992" t="s">
        <v>55</v>
      </c>
      <c r="E992" s="1">
        <v>46088</v>
      </c>
      <c r="F992">
        <v>291</v>
      </c>
      <c r="G992" t="s">
        <v>41</v>
      </c>
      <c r="H992">
        <v>250</v>
      </c>
      <c r="I992">
        <v>131</v>
      </c>
      <c r="J992">
        <v>459550.53</v>
      </c>
      <c r="K992">
        <v>272781.3</v>
      </c>
      <c r="L992">
        <f t="shared" si="45"/>
        <v>186769.23000000004</v>
      </c>
      <c r="M992" t="str">
        <f t="shared" si="46"/>
        <v>2026-03</v>
      </c>
      <c r="N992">
        <f t="shared" si="47"/>
        <v>0.52400000000000002</v>
      </c>
    </row>
    <row r="993" spans="1:14">
      <c r="A993" t="s">
        <v>1122</v>
      </c>
      <c r="B993" t="s">
        <v>506</v>
      </c>
      <c r="C993" t="s">
        <v>55</v>
      </c>
      <c r="D993" t="s">
        <v>34</v>
      </c>
      <c r="E993" s="1">
        <v>46265</v>
      </c>
      <c r="F993">
        <v>251</v>
      </c>
      <c r="G993" t="s">
        <v>46</v>
      </c>
      <c r="H993">
        <v>300</v>
      </c>
      <c r="I993">
        <v>138</v>
      </c>
      <c r="J993">
        <v>1994251.98</v>
      </c>
      <c r="K993">
        <v>300499.69</v>
      </c>
      <c r="L993">
        <f t="shared" si="45"/>
        <v>1693752.29</v>
      </c>
      <c r="M993" t="str">
        <f t="shared" si="46"/>
        <v>2026-08</v>
      </c>
      <c r="N993">
        <f t="shared" si="47"/>
        <v>0.46</v>
      </c>
    </row>
    <row r="994" spans="1:14">
      <c r="A994" t="s">
        <v>1123</v>
      </c>
      <c r="B994" t="s">
        <v>430</v>
      </c>
      <c r="C994" t="s">
        <v>49</v>
      </c>
      <c r="D994" t="s">
        <v>52</v>
      </c>
      <c r="E994" s="1">
        <v>46057</v>
      </c>
      <c r="F994">
        <v>172</v>
      </c>
      <c r="G994" t="s">
        <v>35</v>
      </c>
      <c r="H994">
        <v>250</v>
      </c>
      <c r="I994">
        <v>240</v>
      </c>
      <c r="J994">
        <v>1745794.18</v>
      </c>
      <c r="K994">
        <v>325029.34000000003</v>
      </c>
      <c r="L994">
        <f t="shared" si="45"/>
        <v>1420764.8399999999</v>
      </c>
      <c r="M994" t="str">
        <f t="shared" si="46"/>
        <v>2026-02</v>
      </c>
      <c r="N994">
        <f t="shared" si="47"/>
        <v>0.96</v>
      </c>
    </row>
    <row r="995" spans="1:14">
      <c r="A995" t="s">
        <v>1124</v>
      </c>
      <c r="B995" t="s">
        <v>169</v>
      </c>
      <c r="C995" t="s">
        <v>34</v>
      </c>
      <c r="D995" t="s">
        <v>40</v>
      </c>
      <c r="E995" s="1">
        <v>46056</v>
      </c>
      <c r="F995">
        <v>302</v>
      </c>
      <c r="G995" t="s">
        <v>31</v>
      </c>
      <c r="H995">
        <v>250</v>
      </c>
      <c r="I995">
        <v>52</v>
      </c>
      <c r="J995">
        <v>634059.97</v>
      </c>
      <c r="K995">
        <v>290448.69</v>
      </c>
      <c r="L995">
        <f t="shared" si="45"/>
        <v>343611.27999999997</v>
      </c>
      <c r="M995" t="str">
        <f t="shared" si="46"/>
        <v>2026-02</v>
      </c>
      <c r="N995">
        <f t="shared" si="47"/>
        <v>0.20799999999999999</v>
      </c>
    </row>
    <row r="996" spans="1:14">
      <c r="A996" t="s">
        <v>1125</v>
      </c>
      <c r="B996" t="s">
        <v>37</v>
      </c>
      <c r="C996" t="s">
        <v>30</v>
      </c>
      <c r="D996" t="s">
        <v>29</v>
      </c>
      <c r="E996" s="1">
        <v>46178</v>
      </c>
      <c r="F996">
        <v>77</v>
      </c>
      <c r="G996" t="s">
        <v>31</v>
      </c>
      <c r="H996">
        <v>250</v>
      </c>
      <c r="I996">
        <v>204</v>
      </c>
      <c r="J996">
        <v>2856509.58</v>
      </c>
      <c r="K996">
        <v>209358.26</v>
      </c>
      <c r="L996">
        <f t="shared" si="45"/>
        <v>2647151.3200000003</v>
      </c>
      <c r="M996" t="str">
        <f t="shared" si="46"/>
        <v>2026-06</v>
      </c>
      <c r="N996">
        <f t="shared" si="47"/>
        <v>0.81599999999999995</v>
      </c>
    </row>
    <row r="997" spans="1:14">
      <c r="A997" t="s">
        <v>1126</v>
      </c>
      <c r="B997" t="s">
        <v>159</v>
      </c>
      <c r="C997" t="s">
        <v>55</v>
      </c>
      <c r="D997" t="s">
        <v>45</v>
      </c>
      <c r="E997" s="1">
        <v>46187</v>
      </c>
      <c r="F997">
        <v>485</v>
      </c>
      <c r="G997" t="s">
        <v>41</v>
      </c>
      <c r="H997">
        <v>300</v>
      </c>
      <c r="I997">
        <v>241</v>
      </c>
      <c r="J997">
        <v>1891600.89</v>
      </c>
      <c r="K997">
        <v>614409.26</v>
      </c>
      <c r="L997">
        <f t="shared" si="45"/>
        <v>1277191.6299999999</v>
      </c>
      <c r="M997" t="str">
        <f t="shared" si="46"/>
        <v>2026-06</v>
      </c>
      <c r="N997">
        <f t="shared" si="47"/>
        <v>0.80333333333333334</v>
      </c>
    </row>
    <row r="998" spans="1:14">
      <c r="A998" t="s">
        <v>1127</v>
      </c>
      <c r="B998" t="s">
        <v>192</v>
      </c>
      <c r="C998" t="s">
        <v>49</v>
      </c>
      <c r="D998" t="s">
        <v>44</v>
      </c>
      <c r="E998" s="1">
        <v>46300</v>
      </c>
      <c r="F998">
        <v>446</v>
      </c>
      <c r="G998" t="s">
        <v>31</v>
      </c>
      <c r="H998">
        <v>250</v>
      </c>
      <c r="I998">
        <v>224</v>
      </c>
      <c r="J998">
        <v>907063.14</v>
      </c>
      <c r="K998">
        <v>522176.62</v>
      </c>
      <c r="L998">
        <f t="shared" si="45"/>
        <v>384886.52</v>
      </c>
      <c r="M998" t="str">
        <f t="shared" si="46"/>
        <v>2026-10</v>
      </c>
      <c r="N998">
        <f t="shared" si="47"/>
        <v>0.89600000000000002</v>
      </c>
    </row>
    <row r="999" spans="1:14">
      <c r="A999" t="s">
        <v>1128</v>
      </c>
      <c r="B999" t="s">
        <v>220</v>
      </c>
      <c r="C999" t="s">
        <v>34</v>
      </c>
      <c r="D999" t="s">
        <v>49</v>
      </c>
      <c r="E999" s="1">
        <v>46242</v>
      </c>
      <c r="F999">
        <v>527</v>
      </c>
      <c r="G999" t="s">
        <v>41</v>
      </c>
      <c r="H999">
        <v>180</v>
      </c>
      <c r="I999">
        <v>95</v>
      </c>
      <c r="J999">
        <v>1291592.07</v>
      </c>
      <c r="K999">
        <v>614685.38</v>
      </c>
      <c r="L999">
        <f t="shared" si="45"/>
        <v>676906.69000000006</v>
      </c>
      <c r="M999" t="str">
        <f t="shared" si="46"/>
        <v>2026-08</v>
      </c>
      <c r="N999">
        <f t="shared" si="47"/>
        <v>0.52777777777777779</v>
      </c>
    </row>
    <row r="1000" spans="1:14">
      <c r="A1000" t="s">
        <v>1129</v>
      </c>
      <c r="B1000" t="s">
        <v>157</v>
      </c>
      <c r="C1000" t="s">
        <v>45</v>
      </c>
      <c r="D1000" t="s">
        <v>52</v>
      </c>
      <c r="E1000" s="1">
        <v>46080</v>
      </c>
      <c r="F1000">
        <v>60</v>
      </c>
      <c r="G1000" t="s">
        <v>35</v>
      </c>
      <c r="H1000">
        <v>150</v>
      </c>
      <c r="I1000">
        <v>149</v>
      </c>
      <c r="J1000">
        <v>1516476.22</v>
      </c>
      <c r="K1000">
        <v>123322.5</v>
      </c>
      <c r="L1000">
        <f t="shared" si="45"/>
        <v>1393153.72</v>
      </c>
      <c r="M1000" t="str">
        <f t="shared" si="46"/>
        <v>2026-02</v>
      </c>
      <c r="N1000">
        <f t="shared" si="47"/>
        <v>0.99333333333333329</v>
      </c>
    </row>
    <row r="1001" spans="1:14">
      <c r="A1001" t="s">
        <v>1130</v>
      </c>
      <c r="B1001" t="s">
        <v>77</v>
      </c>
      <c r="C1001" t="s">
        <v>45</v>
      </c>
      <c r="D1001" t="s">
        <v>29</v>
      </c>
      <c r="E1001" s="1">
        <v>46045</v>
      </c>
      <c r="F1001">
        <v>274</v>
      </c>
      <c r="G1001" t="s">
        <v>31</v>
      </c>
      <c r="H1001">
        <v>180</v>
      </c>
      <c r="I1001">
        <v>180</v>
      </c>
      <c r="J1001">
        <v>1121493.73</v>
      </c>
      <c r="K1001">
        <v>313044.02</v>
      </c>
      <c r="L1001">
        <f t="shared" si="45"/>
        <v>808449.71</v>
      </c>
      <c r="M1001" t="str">
        <f t="shared" si="46"/>
        <v>2026-01</v>
      </c>
      <c r="N1001">
        <f t="shared" si="4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patel yashvi</cp:lastModifiedBy>
  <cp:revision/>
  <dcterms:created xsi:type="dcterms:W3CDTF">2026-10-19T10:04:01Z</dcterms:created>
  <dcterms:modified xsi:type="dcterms:W3CDTF">2026-10-19T11:08:10Z</dcterms:modified>
  <cp:category/>
  <cp:contentStatus/>
</cp:coreProperties>
</file>